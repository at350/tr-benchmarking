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1343a1a80ea4baa" /></Relationships>
</file>

<file path=xl/workbook.xml><?xml version="1.0" encoding="utf-8"?>
<x:workbook xmlns:x="http://schemas.openxmlformats.org/spreadsheetml/2006/main">
  <x:sheets>
    <x:sheet xmlns:r="http://schemas.openxmlformats.org/officeDocument/2006/relationships" name="Prefill_Audit" sheetId="1" r:id="R600d0e018029408f"/>
    <x:sheet xmlns:r="http://schemas.openxmlformats.org/officeDocument/2006/relationships" name="Start_Here" sheetId="2" r:id="Rf46a661ae836407f"/>
    <x:sheet xmlns:r="http://schemas.openxmlformats.org/officeDocument/2006/relationships" name="Module_Setup" sheetId="3" r:id="R68d7a18b73364dc6"/>
    <x:sheet xmlns:r="http://schemas.openxmlformats.org/officeDocument/2006/relationships" name="Anchor_Rows" sheetId="4" r:id="R7075146ee99f433f"/>
    <x:sheet xmlns:r="http://schemas.openxmlformats.org/officeDocument/2006/relationships" name="Emergent_Rows" sheetId="5" r:id="Ra477971c9c854cf0"/>
    <x:sheet xmlns:r="http://schemas.openxmlformats.org/officeDocument/2006/relationships" name="Row_Scoring" sheetId="6" r:id="R6a7b582edd6c471d"/>
    <x:sheet xmlns:r="http://schemas.openxmlformats.org/officeDocument/2006/relationships" name="Overlay_Scoring" sheetId="7" r:id="R1c1d19d9be64455b"/>
    <x:sheet xmlns:r="http://schemas.openxmlformats.org/officeDocument/2006/relationships" name="Final_Export" sheetId="8" r:id="R89b9157b2b494211"/>
  </x:sheets>
</x:workbook>
</file>

<file path=xl/comments1.xml><?xml version="1.0" encoding="utf-8"?>
<x:comments xmlns:x="http://schemas.openxmlformats.org/spreadsheetml/2006/main">
  <x:authors>
    <x:author>OpenAI</x:author>
  </x:authors>
  <x:commentList>
    <x:comment ref="F3" authorId="0">
      <x:text>
        <x:r>
          <x:t>0–4. How much the row matters to the outcome if it is missed.</x:t>
        </x:r>
      </x:text>
    </x:comment>
    <x:comment ref="G3" authorId="0">
      <x:text>
        <x:r>
          <x:t>0–4. How early and central the row sits in the doctrinal path.</x:t>
        </x:r>
      </x:text>
    </x:comment>
    <x:comment ref="H3" authorId="0">
      <x:text>
        <x:r>
          <x:t>0–4. Degree of direct grounding in the gold answer, doctrine pack, or failure bank.</x:t>
        </x:r>
      </x:text>
    </x:comment>
    <x:comment ref="I3" authorId="0">
      <x:text>
        <x:r>
          <x:t>0–4. How consistently a judge can score the row.</x:t>
        </x:r>
      </x:text>
    </x:comment>
    <x:comment ref="J3" authorId="0">
      <x:text>
        <x:r>
          <x:t>0–4. How stable the row is across the intended variation lane.</x:t>
        </x:r>
      </x:text>
    </x:comment>
  </x:commentList>
</x:comments>
</file>

<file path=xl/comments2.xml><?xml version="1.0" encoding="utf-8"?>
<x:comments xmlns:x="http://schemas.openxmlformats.org/spreadsheetml/2006/main">
  <x:authors>
    <x:author>OpenAI</x:author>
  </x:authors>
  <x:commentList>
    <x:comment ref="F3" authorId="0">
      <x:text>
        <x:r>
          <x:t>0–4. How strongly the centroid signal distinguishes weaker from stronger clusters.</x:t>
        </x:r>
      </x:text>
    </x:comment>
    <x:comment ref="G3" authorId="0">
      <x:text>
        <x:r>
          <x:t>0–4. Approximate cluster size or practical recurrence.</x:t>
        </x:r>
      </x:text>
    </x:comment>
    <x:comment ref="H3" authorId="0">
      <x:text>
        <x:r>
          <x:t>0–4. Stability across reruns, nearby variants, or adjacent clusters.</x:t>
        </x:r>
      </x:text>
    </x:comment>
    <x:comment ref="I3" authorId="0">
      <x:text>
        <x:r>
          <x:t>0–4. How well the signal anchors to the gold answer, pack, or source logic.</x:t>
        </x:r>
      </x:text>
    </x:comment>
    <x:comment ref="J3" authorId="0">
      <x:text>
        <x:r>
          <x:t>0–4. Judgeability for the emergent signal.</x:t>
        </x:r>
      </x:text>
    </x:comment>
    <x:comment ref="K3" authorId="0">
      <x:text>
        <x:r>
          <x:t>0–4. Overlap with existing rows; higher values suppress the evidence score.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8">
    <x:font>
      <x:sz val="11"/>
      <x:color theme="1"/>
      <x:name val="Calibri"/>
      <x:family val="2"/>
      <x:scheme val="minor"/>
    </x:font>
    <x:font>
      <x:b/>
      <x:sz val="16"/>
      <x:color rgb="00FFFFFF"/>
      <x:name val="Calibri"/>
    </x:font>
    <x:font>
      <x:b/>
      <x:sz val="11"/>
      <x:color rgb="00FFFFFF"/>
      <x:name val="Calibri"/>
    </x:font>
    <x:font>
      <x:sz val="10"/>
      <x:color rgb="00666666"/>
      <x:name val="Calibri"/>
    </x:font>
    <x:font>
      <x:sz val="11"/>
      <x:color rgb="000000FF"/>
      <x:name val="Calibri"/>
    </x:font>
    <x:font>
      <x:sz val="11"/>
      <x:color rgb="00000000"/>
      <x:name val="Calibri"/>
    </x:font>
    <x:font>
      <x:b/>
      <x:sz val="11"/>
      <x:color rgb="00000000"/>
      <x:name val="Calibri"/>
    </x:font>
    <x:font>
      <x:sz val="11"/>
      <x:color rgb="00C65911"/>
      <x:name val="Calibri"/>
    </x:font>
  </x:fonts>
  <x:fills count="8">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DDEBF7"/>
      </x:patternFill>
    </x:fill>
    <x:fill>
      <x:patternFill patternType="solid">
        <x:fgColor rgb="00203864"/>
      </x:patternFill>
    </x:fill>
    <x:fill>
      <x:patternFill patternType="solid">
        <x:fgColor rgb="00FCE4D6"/>
      </x:patternFill>
    </x:fill>
    <x:fill>
      <x:patternFill patternType="solid">
        <x:fgColor rgb="00EDEDED"/>
      </x:patternFill>
    </x:fill>
  </x:fills>
  <x:borders count="11">
    <x:border>
      <x:left/>
      <x:right/>
      <x:top/>
      <x:bottom/>
      <x:diagonal/>
    </x:border>
    <x:border>
      <x:top style="medium">
        <x:color rgb="001F4E78"/>
      </x:top>
      <x:bottom style="medium">
        <x:color rgb="001F4E78"/>
      </x:bottom>
    </x:border>
    <x:border>
      <x:left/>
      <x:right/>
      <x:top style="medium">
        <x:color rgb="001F4E78"/>
      </x:top>
      <x:bottom/>
      <x:diagonal/>
    </x:border>
    <x:border>
      <x:left/>
      <x:right/>
      <x:top style="medium">
        <x:color rgb="001F4E78"/>
      </x:top>
      <x:bottom style="medium">
        <x:color rgb="001F4E78"/>
      </x:bottom>
      <x:diagonal/>
    </x:border>
    <x:border>
      <x:left style="thin">
        <x:color rgb="00D0D0D0"/>
      </x:left>
      <x:right style="thin">
        <x:color rgb="00D0D0D0"/>
      </x:right>
      <x:top style="thin">
        <x:color rgb="00D0D0D0"/>
      </x:top>
      <x:bottom style="thin">
        <x:color rgb="00D0D0D0"/>
      </x:bottom>
    </x:border>
    <x:border>
      <x:left/>
      <x:right/>
      <x:top style="thin">
        <x:color rgb="00D0D0D0"/>
      </x:top>
      <x:bottom/>
      <x:diagonal/>
    </x:border>
    <x:border>
      <x:left/>
      <x:right style="thin">
        <x:color rgb="00D0D0D0"/>
      </x:right>
      <x:top style="thin">
        <x:color rgb="00D0D0D0"/>
      </x:top>
      <x:bottom/>
      <x:diagonal/>
    </x:border>
    <x:border>
      <x:left/>
      <x:right/>
      <x:top style="thin">
        <x:color rgb="00D0D0D0"/>
      </x:top>
      <x:bottom style="thin">
        <x:color rgb="00D0D0D0"/>
      </x:bottom>
      <x:diagonal/>
    </x:border>
    <x:border>
      <x:left/>
      <x:right style="thin">
        <x:color rgb="00D0D0D0"/>
      </x:right>
      <x:top style="thin">
        <x:color rgb="00D0D0D0"/>
      </x:top>
      <x:bottom style="thin">
        <x:color rgb="00D0D0D0"/>
      </x:bottom>
      <x:diagonal/>
    </x:border>
    <x:border>
      <x:left style="thin">
        <x:color rgb="00D0D0D0"/>
      </x:left>
      <x:right style="thin">
        <x:color rgb="00D0D0D0"/>
      </x:right>
      <x:top style="medium">
        <x:color rgb="001F4E78"/>
      </x:top>
      <x:bottom style="thin">
        <x:color rgb="00D0D0D0"/>
      </x:bottom>
    </x:border>
    <x:border>
      <x:right/>
      <x:top style="medium">
        <x:color rgb="001F4E78"/>
      </x:top>
      <x:bottom style="medium">
        <x:color rgb="001F4E78"/>
      </x:bottom>
    </x:border>
  </x:borders>
  <x:cellStyleXfs count="1">
    <x:xf numFmtId="0" fontId="0" fillId="0" borderId="0"/>
  </x:cellStyleXfs>
  <x:cellXfs count="27">
    <x:xf numFmtId="0" fontId="0" fillId="0" borderId="0" xfId="0"/>
    <x:xf numFmtId="0" fontId="1" fillId="2" borderId="0" xfId="0" applyAlignment="1">
      <x:alignment horizontal="left" vertical="center"/>
    </x:xf>
    <x:xf numFmtId="0" fontId="2" fillId="2" borderId="1" xfId="0" applyAlignment="1">
      <x:alignment horizontal="left" vertical="center"/>
    </x:xf>
    <x:xf numFmtId="0" fontId="0" fillId="0" borderId="3" xfId="0"/>
    <x:xf numFmtId="0" fontId="3" fillId="0" borderId="0" xfId="0" applyAlignment="1">
      <x:alignment vertical="top" wrapText="1"/>
    </x:xf>
    <x:xf numFmtId="0" fontId="4" fillId="3" borderId="4" xfId="0" applyAlignment="1">
      <x:alignment horizontal="left" vertical="center" wrapText="1"/>
    </x:xf>
    <x:xf numFmtId="0" fontId="5" fillId="0" borderId="4" xfId="0" applyAlignment="1">
      <x:alignment horizontal="left" vertical="center" wrapText="1"/>
    </x:xf>
    <x:xf numFmtId="0" fontId="0" fillId="0" borderId="7" xfId="0"/>
    <x:xf numFmtId="0" fontId="0" fillId="0" borderId="8" xfId="0"/>
    <x:xf numFmtId="0" fontId="6" fillId="4" borderId="4" xfId="0" applyAlignment="1">
      <x:alignment horizontal="left" vertical="center" wrapText="1"/>
    </x:xf>
    <x:xf numFmtId="0" fontId="4" fillId="3" borderId="4" xfId="0" applyAlignment="1">
      <x:alignment horizontal="left" vertical="center"/>
    </x:xf>
    <x:xf numFmtId="0" fontId="2" fillId="5" borderId="1" xfId="0" applyAlignment="1">
      <x:alignment horizontal="center" vertical="center" wrapText="1"/>
    </x:xf>
    <x:xf numFmtId="0" fontId="6" fillId="0" borderId="4" xfId="0" applyAlignment="1">
      <x:alignment horizontal="left" vertical="center" wrapText="1"/>
    </x:xf>
    <x:xf numFmtId="1" fontId="5" fillId="0" borderId="4" xfId="0" applyAlignment="1">
      <x:alignment horizontal="center" vertical="center"/>
    </x:xf>
    <x:xf numFmtId="164" fontId="5" fillId="0" borderId="4" xfId="0" applyAlignment="1">
      <x:alignment horizontal="center" vertical="center"/>
    </x:xf>
    <x:xf numFmtId="0" fontId="7" fillId="6" borderId="4" xfId="0" applyAlignment="1">
      <x:alignment horizontal="center" vertical="center" wrapText="1"/>
    </x:xf>
    <x:xf numFmtId="0" fontId="2" fillId="2" borderId="1" xfId="0" applyAlignment="1">
      <x:alignment horizontal="center" vertical="center" wrapText="1"/>
    </x:xf>
    <x:xf numFmtId="0" fontId="0" fillId="0" borderId="1" xfId="0"/>
    <x:xf numFmtId="0" fontId="6" fillId="7" borderId="4" xfId="0" applyAlignment="1">
      <x:alignment horizontal="left" vertical="center" wrapText="1"/>
    </x:xf>
    <x:xf numFmtId="0" fontId="4" fillId="3" borderId="9" xfId="0" applyAlignment="1">
      <x:alignment horizontal="left" vertical="center"/>
    </x:xf>
    <x:xf numFmtId="164" fontId="4" fillId="3" borderId="9" xfId="0" applyAlignment="1">
      <x:alignment horizontal="left" vertical="center"/>
    </x:xf>
    <x:xf numFmtId="164" fontId="5" fillId="0" borderId="9" xfId="0" applyAlignment="1">
      <x:alignment horizontal="center" vertical="center"/>
    </x:xf>
    <x:xf numFmtId="0" fontId="7" fillId="6" borderId="9" xfId="0" applyAlignment="1">
      <x:alignment horizontal="center" vertical="center" wrapText="1"/>
    </x:xf>
    <x:xf numFmtId="164" fontId="4" fillId="3" borderId="4" xfId="0" applyAlignment="1">
      <x:alignment horizontal="left" vertical="center"/>
    </x:xf>
    <x:xf numFmtId="0" fontId="2" fillId="2" borderId="10" xfId="0" applyAlignment="1">
      <x:alignment horizontal="left" vertical="center"/>
    </x:xf>
    <x:xf numFmtId="164" fontId="5" fillId="3" borderId="9" xfId="0" applyAlignment="1">
      <x:alignment horizontal="left" vertical="center"/>
    </x:xf>
    <x:xf numFmtId="1" fontId="5" fillId="0" borderId="4" xfId="0" applyAlignment="1">
      <x:alignment horizontal="lef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caf783150bc406a" /><Relationship Type="http://schemas.openxmlformats.org/officeDocument/2006/relationships/theme" Target="/xl/theme/theme1.xml" Id="R782800dec0a14d76" /><Relationship Type="http://schemas.openxmlformats.org/officeDocument/2006/relationships/sharedStrings" Target="/xl/sharedStrings.xml" Id="R042a611a01f04e7f" /><Relationship Type="http://schemas.openxmlformats.org/officeDocument/2006/relationships/worksheet" Target="/xl/worksheets/sheet1.xml" Id="R600d0e018029408f" /><Relationship Type="http://schemas.openxmlformats.org/officeDocument/2006/relationships/worksheet" Target="/xl/worksheets/sheet2.xml" Id="Rf46a661ae836407f" /><Relationship Type="http://schemas.openxmlformats.org/officeDocument/2006/relationships/worksheet" Target="/xl/worksheets/sheet3.xml" Id="R68d7a18b73364dc6" /><Relationship Type="http://schemas.openxmlformats.org/officeDocument/2006/relationships/worksheet" Target="/xl/worksheets/sheet4.xml" Id="R7075146ee99f433f" /><Relationship Type="http://schemas.openxmlformats.org/officeDocument/2006/relationships/worksheet" Target="/xl/worksheets/sheet5.xml" Id="Ra477971c9c854cf0" /><Relationship Type="http://schemas.openxmlformats.org/officeDocument/2006/relationships/worksheet" Target="/xl/worksheets/sheet6.xml" Id="R6a7b582edd6c471d" /><Relationship Type="http://schemas.openxmlformats.org/officeDocument/2006/relationships/worksheet" Target="/xl/worksheets/sheet7.xml" Id="R1c1d19d9be64455b" /><Relationship Type="http://schemas.openxmlformats.org/officeDocument/2006/relationships/worksheet" Target="/xl/worksheets/sheet8.xml" Id="R89b9157b2b494211" /><Relationship Type="http://schemas.microsoft.com/office/2017/10/relationships/person" Target="/xl/persons/person.xml" Id="R451c3913e8024aa1" /></Relationships>
</file>

<file path=xl/persons/person.xml><?xml version="1.0" encoding="utf-8"?>
<xltc:personList xmlns:xltc="http://schemas.microsoft.com/office/spreadsheetml/2018/threadedcomments">
  <xltc:person displayName="OpenAI" id="{F3C6F9F9-F28B-67D7-65B1-2EFC6DBA793B}"/>
  <xltc:person displayName="OpenAI" id="{23319717-F520-7680-634C-68C04B6C1AEA}"/>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comments" Target="/xl/comments1.xml" Id="R10ee542465e74b48" /><Relationship Type="http://schemas.openxmlformats.org/officeDocument/2006/relationships/vmlDrawing" Target="/xl/drawings/vmldrawing.vml" Id="Rca1203aabb2f484d" /></Relationships>
</file>

<file path=xl/worksheets/_rels/sheet5.xml.rels>&#65279;<?xml version="1.0" encoding="utf-8"?><Relationships xmlns="http://schemas.openxmlformats.org/package/2006/relationships"><Relationship Type="http://schemas.openxmlformats.org/officeDocument/2006/relationships/comments" Target="/xl/comments2.xml" Id="R0e691d744896406d" /><Relationship Type="http://schemas.openxmlformats.org/officeDocument/2006/relationships/vmlDrawing" Target="/xl/drawings/vmldrawing2.vml" Id="R3e4afb5bf2a24c93" /></Relationships>
</file>

<file path=xl/worksheets/sheet1.xml><?xml version="1.0" encoding="utf-8"?>
<x:worksheet xmlns:x="http://schemas.openxmlformats.org/spreadsheetml/2006/main">
  <x:sheetFormatPr baseColWidth="8" defaultRowHeight="15"/>
  <x:cols>
    <x:col min="1" max="1" width="28" customWidth="1"/>
    <x:col min="2" max="2" width="34" customWidth="1"/>
    <x:col min="3" max="3" width="28" customWidth="1"/>
    <x:col min="4" max="4" width="48" customWidth="1"/>
    <x:col min="5" max="5" width="28" customWidth="1"/>
  </x:cols>
  <x:sheetData>
    <x:row r="1" ht="26" customHeight="1">
      <x:c r="A1" s="1" t="inlineStr">
        <x:is>
          <x:t xml:space="preserve">Benchmark packet prefill audit</x:t>
        </x:is>
      </x:c>
    </x:row>
    <x:row r="2" ht="22" customHeight="1"/>
    <x:row r="3" ht="22" customHeight="1">
      <x:c r="A3" s="24" t="inlineStr">
        <x:is>
          <x:t xml:space="preserve">Lock these fields before rubric drafting begins</x:t>
        </x:is>
      </x:c>
      <x:c r="B3" s="3" t="n"/>
      <x:c r="C3" s="3" t="n"/>
      <x:c r="D3" s="3" t="n"/>
      <x:c r="E3" s="3" t="n"/>
    </x:row>
    <x:row r="4" ht="22" customHeight="1">
      <x:c r="A4" s="11" t="inlineStr">
        <x:is>
          <x:t xml:space="preserve">Field</x:t>
        </x:is>
      </x:c>
      <x:c r="B4" s="11" t="inlineStr">
        <x:is>
          <x:t xml:space="preserve">Value</x:t>
        </x:is>
      </x:c>
      <x:c r="C4" s="11" t="inlineStr">
        <x:is>
          <x:t xml:space="preserve">Status</x:t>
        </x:is>
      </x:c>
      <x:c r="D4" s="11" t="inlineStr">
        <x:is>
          <x:t xml:space="preserve">Why / notes</x:t>
        </x:is>
      </x:c>
      <x:c r="E4" s="11" t="inlineStr">
        <x:is>
          <x:t xml:space="preserve">Source / file</x:t>
        </x:is>
      </x:c>
    </x:row>
    <x:row r="5" ht="22" customHeight="1">
      <x:c r="A5" s="6" t="inlineStr">
        <x:is>
          <x:t xml:space="preserve">selected_pack</x:t>
        </x:is>
      </x:c>
      <x:c r="B5" s="20" t="inlineStr">
        <x:is>
          <x:t xml:space="preserve"/>
        </x:is>
      </x:c>
      <x:c r="C5" s="20" t="inlineStr">
        <x:is>
          <x:t xml:space="preserve">Needs human confirmation</x:t>
        </x:is>
      </x:c>
      <x:c r="D5" s="6" t="inlineStr">
        <x:is>
          <x:t xml:space="preserve">Choose the canonical pack before any row drafting.</x:t>
        </x:is>
      </x:c>
      <x:c r="E5" s="6" t="inlineStr">
        <x:is>
          <x:t xml:space="preserve"/>
        </x:is>
      </x:c>
    </x:row>
    <x:row r="6" ht="22" customHeight="1">
      <x:c r="A6" s="6" t="inlineStr">
        <x:is>
          <x:t xml:space="preserve">doctrine_family</x:t>
        </x:is>
      </x:c>
      <x:c r="B6" s="20" t="inlineStr">
        <x:is>
          <x:t xml:space="preserve"/>
        </x:is>
      </x:c>
      <x:c r="C6" s="20" t="inlineStr">
        <x:is>
          <x:t xml:space="preserve">Needs human confirmation</x:t>
        </x:is>
      </x:c>
      <x:c r="D6" s="6" t="inlineStr">
        <x:is>
          <x:t xml:space="preserve">Keep narrow and evaluation-usable.</x:t>
        </x:is>
      </x:c>
      <x:c r="E6" s="6" t="inlineStr">
        <x:is>
          <x:t xml:space="preserve"/>
        </x:is>
      </x:c>
    </x:row>
    <x:row r="7" ht="22" customHeight="1">
      <x:c r="A7" s="6" t="inlineStr">
        <x:is>
          <x:t xml:space="preserve">variation_lane</x:t>
        </x:is>
      </x:c>
      <x:c r="B7" s="20" t="inlineStr">
        <x:is>
          <x:t xml:space="preserve">A</x:t>
        </x:is>
      </x:c>
      <x:c r="C7" s="20" t="inlineStr">
        <x:is>
          <x:t xml:space="preserve">Fixed</x:t>
        </x:is>
      </x:c>
      <x:c r="D7" s="6" t="inlineStr">
        <x:is>
          <x:t xml:space="preserve">A = answer-invariant; B = ambiguity / missing-fact test.</x:t>
        </x:is>
      </x:c>
      <x:c r="E7" s="6" t="inlineStr">
        <x:is>
          <x:t xml:space="preserve"/>
        </x:is>
      </x:c>
    </x:row>
    <x:row r="8" ht="22" customHeight="1">
      <x:c r="A8" s="6" t="inlineStr">
        <x:is>
          <x:t xml:space="preserve">benchmark_posture</x:t>
        </x:is>
      </x:c>
      <x:c r="B8" s="20" t="inlineStr">
        <x:is>
          <x:t xml:space="preserve"/>
        </x:is>
      </x:c>
      <x:c r="C8" s="20" t="inlineStr">
        <x:is>
          <x:t xml:space="preserve">Needs human confirmation</x:t>
        </x:is>
      </x:c>
      <x:c r="D8" s="6" t="inlineStr">
        <x:is>
          <x:t xml:space="preserve">Narrow source-grounded / generalizable with support / portable within pack.</x:t>
        </x:is>
      </x:c>
      <x:c r="E8" s="6" t="inlineStr">
        <x:is>
          <x:t xml:space="preserve"/>
        </x:is>
      </x:c>
    </x:row>
    <x:row r="9" ht="22" customHeight="1">
      <x:c r="A9" s="6" t="inlineStr">
        <x:is>
          <x:t xml:space="preserve">likely_controlling_doctrine</x:t>
        </x:is>
      </x:c>
      <x:c r="B9" s="20" t="inlineStr">
        <x:is>
          <x:t xml:space="preserve"/>
        </x:is>
      </x:c>
      <x:c r="C9" s="20" t="inlineStr">
        <x:is>
          <x:t xml:space="preserve">Needs human confirmation</x:t>
        </x:is>
      </x:c>
      <x:c r="D9" s="6" t="inlineStr">
        <x:is>
          <x:t xml:space="preserve">Name the controller first; do not list multiple without priority.</x:t>
        </x:is>
      </x:c>
      <x:c r="E9" s="6" t="inlineStr">
        <x:is>
          <x:t xml:space="preserve"/>
        </x:is>
      </x:c>
    </x:row>
    <x:row r="10" ht="22" customHeight="1">
      <x:c r="A10" s="6" t="inlineStr">
        <x:is>
          <x:t xml:space="preserve">required_gate_order</x:t>
        </x:is>
      </x:c>
      <x:c r="B10" s="20" t="inlineStr">
        <x:is>
          <x:t xml:space="preserve"/>
        </x:is>
      </x:c>
      <x:c r="C10" s="20" t="inlineStr">
        <x:is>
          <x:t xml:space="preserve">Needs human confirmation</x:t>
        </x:is>
      </x:c>
      <x:c r="D10" s="6" t="inlineStr">
        <x:is>
          <x:t xml:space="preserve">Use exact doctrinal order expected by the benchmark.</x:t>
        </x:is>
      </x:c>
      <x:c r="E10" s="6" t="inlineStr">
        <x:is>
          <x:t xml:space="preserve"/>
        </x:is>
      </x:c>
    </x:row>
    <x:row r="11" ht="22" customHeight="1">
      <x:c r="A11" s="6" t="inlineStr">
        <x:is>
          <x:t xml:space="preserve">jurisdiction_assumption</x:t>
        </x:is>
      </x:c>
      <x:c r="B11" s="20" t="inlineStr">
        <x:is>
          <x:t xml:space="preserve"/>
        </x:is>
      </x:c>
      <x:c r="C11" s="20" t="inlineStr">
        <x:is>
          <x:t xml:space="preserve">Needs human confirmation</x:t>
        </x:is>
      </x:c>
      <x:c r="D11" s="6" t="inlineStr">
        <x:is>
          <x:t xml:space="preserve">Explicitly scope any jurisdiction-sensitive rule.</x:t>
        </x:is>
      </x:c>
      <x:c r="E11" s="6" t="inlineStr">
        <x:is>
          <x:t xml:space="preserve"/>
        </x:is>
      </x:c>
    </x:row>
    <x:row r="12" ht="22" customHeight="1">
      <x:c r="A12" s="6" t="inlineStr">
        <x:is>
          <x:t xml:space="preserve">output_shell</x:t>
        </x:is>
      </x:c>
      <x:c r="B12" s="20" t="inlineStr">
        <x:is>
          <x:t xml:space="preserve">core_cross_pack_v1</x:t>
        </x:is>
      </x:c>
      <x:c r="C12" s="20" t="inlineStr">
        <x:is>
          <x:t xml:space="preserve">Needs human confirmation</x:t>
        </x:is>
      </x:c>
      <x:c r="D12" s="6" t="inlineStr">
        <x:is>
          <x:t xml:space="preserve">Use core_cross_pack_v1 unless a controlled backward-compatibility run needs legacy_father_son_v1.</x:t>
        </x:is>
      </x:c>
      <x:c r="E12" s="6" t="inlineStr">
        <x:is>
          <x:t xml:space="preserve">03_CORE_OUTPUT_SHAPE_AND_PROMPT_STRUCTURE.txt</x:t>
        </x:is>
      </x:c>
    </x:row>
    <x:row r="13" ht="22" customHeight="1">
      <x:c r="A13" s="6" t="inlineStr">
        <x:is>
          <x:t xml:space="preserve">gold_answer_ref</x:t>
        </x:is>
      </x:c>
      <x:c r="B13" s="20" t="inlineStr">
        <x:is>
          <x:t xml:space="preserve"/>
        </x:is>
      </x:c>
      <x:c r="C13" s="20" t="inlineStr">
        <x:is>
          <x:t xml:space="preserve">Needs human confirmation</x:t>
        </x:is>
      </x:c>
      <x:c r="D13" s="6" t="inlineStr">
        <x:is>
          <x:t xml:space="preserve">Point to the gold / model answer file or packet location.</x:t>
        </x:is>
      </x:c>
      <x:c r="E13" s="6" t="inlineStr">
        <x:is>
          <x:t xml:space="preserve"/>
        </x:is>
      </x:c>
    </x:row>
    <x:row r="14" ht="22" customHeight="1">
      <x:c r="A14" s="6" t="inlineStr">
        <x:is>
          <x:t xml:space="preserve">doctrine_guide_or_pack</x:t>
        </x:is>
      </x:c>
      <x:c r="B14" s="20" t="inlineStr">
        <x:is>
          <x:t xml:space="preserve"/>
        </x:is>
      </x:c>
      <x:c r="C14" s="20" t="inlineStr">
        <x:is>
          <x:t xml:space="preserve">Needs human confirmation</x:t>
        </x:is>
      </x:c>
      <x:c r="D14" s="6" t="inlineStr">
        <x:is>
          <x:t xml:space="preserve">Selected doctrine pack or source-grounded doctrine guide.</x:t>
        </x:is>
      </x:c>
      <x:c r="E14" s="6" t="inlineStr">
        <x:is>
          <x:t xml:space="preserve"/>
        </x:is>
      </x:c>
    </x:row>
    <x:row r="15" ht="22" customHeight="1">
      <x:c r="A15" s="6" t="inlineStr">
        <x:is>
          <x:t xml:space="preserve">failure_bank</x:t>
        </x:is>
      </x:c>
      <x:c r="B15" s="20" t="inlineStr">
        <x:is>
          <x:t xml:space="preserve"/>
        </x:is>
      </x:c>
      <x:c r="C15" s="20" t="inlineStr">
        <x:is>
          <x:t xml:space="preserve">Needs human confirmation</x:t>
        </x:is>
      </x:c>
      <x:c r="D15" s="6" t="inlineStr">
        <x:is>
          <x:t xml:space="preserve">Selected failure bank / label bank.</x:t>
        </x:is>
      </x:c>
      <x:c r="E15" s="6" t="inlineStr">
        <x:is>
          <x:t xml:space="preserve"/>
        </x:is>
      </x:c>
    </x:row>
    <x:row r="16" ht="22" customHeight="1">
      <x:c r="A16" s="6" t="inlineStr">
        <x:is>
          <x:t xml:space="preserve">human_weight_overrides</x:t>
        </x:is>
      </x:c>
      <x:c r="B16" s="20" t="inlineStr">
        <x:is>
          <x:t xml:space="preserve">None</x:t>
        </x:is>
      </x:c>
      <x:c r="C16" s="20" t="inlineStr">
        <x:is>
          <x:t xml:space="preserve">Fixed</x:t>
        </x:is>
      </x:c>
      <x:c r="D16" s="6" t="inlineStr">
        <x:is>
          <x:t xml:space="preserve">State None or identify any approved override.</x:t>
        </x:is>
      </x:c>
      <x:c r="E16" s="6" t="inlineStr">
        <x:is>
          <x:t xml:space="preserve"/>
        </x:is>
      </x:c>
    </x:row>
    <x:row r="17" ht="22" customHeight="1">
      <x:c r="A17" s="6" t="inlineStr">
        <x:is>
          <x:t xml:space="preserve">failure_bank_status</x:t>
        </x:is>
      </x:c>
      <x:c r="B17" s="20" t="inlineStr">
        <x:is>
          <x:t xml:space="preserve"/>
        </x:is>
      </x:c>
      <x:c r="C17" s="20" t="inlineStr">
        <x:is>
          <x:t xml:space="preserve">Needs human confirmation</x:t>
        </x:is>
      </x:c>
      <x:c r="D17" s="6" t="inlineStr">
        <x:is>
          <x:t xml:space="preserve">Stable / provisional / needs patching.</x:t>
        </x:is>
      </x:c>
      <x:c r="E17" s="6" t="inlineStr">
        <x:is>
          <x:t xml:space="preserve"/>
        </x:is>
      </x:c>
    </x:row>
    <x:row r="18" ht="22" customHeight="1">
      <x:c r="A18" s="6" t="inlineStr">
        <x:is>
          <x:t xml:space="preserve">strongest_expected_counterargument</x:t>
        </x:is>
      </x:c>
      <x:c r="B18" s="20" t="inlineStr">
        <x:is>
          <x:t xml:space="preserve"/>
        </x:is>
      </x:c>
      <x:c r="C18" s="20" t="inlineStr">
        <x:is>
          <x:t xml:space="preserve">Needs human confirmation</x:t>
        </x:is>
      </x:c>
      <x:c r="D18" s="6" t="inlineStr">
        <x:is>
          <x:t xml:space="preserve">Write the best opposing doctrinal path in one sentence.</x:t>
        </x:is>
      </x:c>
      <x:c r="E18" s="6" t="inlineStr">
        <x:is>
          <x:t xml:space="preserve"/>
        </x:is>
      </x:c>
    </x:row>
    <x:row r="19" ht="22" customHeight="1">
      <x:c r="A19" s="6" t="inlineStr">
        <x:is>
          <x:t xml:space="preserve">cluster_or_centroid_source</x:t>
        </x:is>
      </x:c>
      <x:c r="B19" s="20" t="inlineStr">
        <x:is>
          <x:t xml:space="preserve"/>
        </x:is>
      </x:c>
      <x:c r="C19" s="20" t="inlineStr">
        <x:is>
          <x:t xml:space="preserve">Needs human confirmation</x:t>
        </x:is>
      </x:c>
      <x:c r="D19" s="6" t="inlineStr">
        <x:is>
          <x:t xml:space="preserve">Reference cluster summary, centroids, or archetypes used to infer emergent rows.</x:t>
        </x:is>
      </x:c>
      <x:c r="E19" s="6" t="inlineStr">
        <x:is>
          <x:t xml:space="preserve"/>
        </x:is>
      </x:c>
    </x:row>
    <x:row r="20" ht="22" customHeight="1">
      <x:c r="A20" s="6" t="inlineStr">
        <x:is>
          <x:t xml:space="preserve">source_grounded_vs_generalized</x:t>
        </x:is>
      </x:c>
      <x:c r="B20" s="20" t="inlineStr">
        <x:is>
          <x:t xml:space="preserve"/>
        </x:is>
      </x:c>
      <x:c r="C20" s="20" t="inlineStr">
        <x:is>
          <x:t xml:space="preserve">Needs human confirmation</x:t>
        </x:is>
      </x:c>
      <x:c r="D20" s="6" t="inlineStr">
        <x:is>
          <x:t xml:space="preserve">Source-grounded / generalized / mixed.</x:t>
        </x:is>
      </x:c>
      <x:c r="E20" s="6" t="inlineStr">
        <x:is>
          <x:t xml:space="preserve"/>
        </x:is>
      </x:c>
    </x:row>
    <x:row r="21" ht="22" customHeight="1">
      <x:c r="A21" s="6" t="inlineStr">
        <x:is>
          <x:t xml:space="preserve">cluster_confidence_or_escalation_flag</x:t>
        </x:is>
      </x:c>
      <x:c r="B21" s="20" t="inlineStr">
        <x:is>
          <x:t xml:space="preserve"/>
        </x:is>
      </x:c>
      <x:c r="C21" s="20" t="inlineStr">
        <x:is>
          <x:t xml:space="preserve">Needs human confirmation</x:t>
        </x:is>
      </x:c>
      <x:c r="D21" s="6" t="inlineStr">
        <x:is>
          <x:t xml:space="preserve">High / medium / low or explicit escalation.</x:t>
        </x:is>
      </x:c>
      <x:c r="E21" s="6" t="inlineStr">
        <x:is>
          <x:t xml:space="preserve"/>
        </x:is>
      </x:c>
    </x:row>
    <x:row r="22" ht="22" customHeight="1">
      <x:c r="A22" s="6" t="inlineStr">
        <x:is>
          <x:t xml:space="preserve">packet_readiness</x:t>
        </x:is>
      </x:c>
      <x:c r="B22" s="20" t="inlineStr">
        <x:is>
          <x:t xml:space="preserve">Needs work</x:t>
        </x:is>
      </x:c>
      <x:c r="C22" s="20" t="inlineStr">
        <x:is>
          <x:t xml:space="preserve">Needs human confirmation</x:t>
        </x:is>
      </x:c>
      <x:c r="D22" s="6" t="inlineStr">
        <x:is>
          <x:t xml:space="preserve">Ready / needs work / blocked.</x:t>
        </x:is>
      </x:c>
      <x:c r="E22" s="6" t="inlineStr">
        <x:is>
          <x:t xml:space="preserve"/>
        </x:is>
      </x:c>
    </x:row>
    <x:row r="23" ht="22" customHeight="1"/>
    <x:row r="24" ht="22" customHeight="1"/>
    <x:row r="25" ht="22" customHeight="1">
      <x:c r="A25" s="24" t="inlineStr">
        <x:is>
          <x:t xml:space="preserve">Audit summary</x:t>
        </x:is>
      </x:c>
      <x:c r="B25" s="3" t="n"/>
      <x:c r="C25" s="3" t="n"/>
      <x:c r="D25" s="3" t="n"/>
      <x:c r="E25" s="3" t="n"/>
    </x:row>
    <x:row r="26" ht="22" customHeight="1">
      <x:c r="A26" s="6" t="inlineStr">
        <x:is>
          <x:t xml:space="preserve">Needs human confirmation count</x:t>
        </x:is>
      </x:c>
      <x:c r="B26" s="20">
        <x:f>COUNTIF(C5:C22,"Needs human confirmation")</x:f>
        <x:v>16</x:v>
      </x:c>
    </x:row>
    <x:row r="27" ht="22" customHeight="1">
      <x:c r="A27" s="6" t="inlineStr">
        <x:is>
          <x:t xml:space="preserve">Fixed but jurisdiction-sensitive count</x:t>
        </x:is>
      </x:c>
      <x:c r="B27" s="20">
        <x:f>COUNTIF(C5:C22,"Fixed but jurisdiction-sensitive")</x:f>
        <x:v>0</x:v>
      </x:c>
    </x:row>
    <x:row r="28" ht="22" customHeight="1">
      <x:c r="A28" s="6" t="inlineStr">
        <x:is>
          <x:t xml:space="preserve">Ready-to-draft flag</x:t>
        </x:is>
      </x:c>
      <x:c r="B28" s="20" t="str">
        <x:f>IF(AND(COUNTIF(C5:C22,"Needs human confirmation")=0,OR(B22="Ready",B22="ready")),"READY","REVIEW")</x:f>
        <x:v>REVIEW</x:v>
      </x:c>
    </x:row>
    <x:row r="29" ht="22" customHeight="1"/>
    <x:row r="30" ht="22" customHeight="1">
      <x:c r="A30" s="24" t="inlineStr">
        <x:is>
          <x:t xml:space="preserve">Recommended use</x:t>
        </x:is>
      </x:c>
      <x:c r="B30" s="3" t="n"/>
      <x:c r="C30" s="3" t="n"/>
      <x:c r="D30" s="3" t="n"/>
      <x:c r="E30" s="3" t="n"/>
    </x:row>
    <x:row r="31" ht="22" customHeight="1">
      <x:c r="A31" s="6" t="inlineStr">
        <x:is>
          <x:t xml:space="preserve">• Use this sheet as the workbook version of the benchmark-packet handoff template.</x:t>
        </x:is>
      </x:c>
      <x:c r="B31" s="7" t="n"/>
      <x:c r="C31" s="7" t="n"/>
      <x:c r="D31" s="7" t="n"/>
      <x:c r="E31" s="8" t="n"/>
    </x:row>
    <x:row r="32" ht="22" customHeight="1">
      <x:c r="A32" s="6" t="inlineStr">
        <x:is>
          <x:t xml:space="preserve">• The Module_Setup header cells mirror key packet fields so the controller, output shell, failure bank, and readiness are visible while weighting rows.</x:t>
        </x:is>
      </x:c>
      <x:c r="B32" s="7" t="n"/>
      <x:c r="C32" s="7" t="n"/>
      <x:c r="D32" s="7" t="n"/>
      <x:c r="E32" s="8" t="n"/>
    </x:row>
    <x:row r="33" ht="22" customHeight="1">
      <x:c r="A33" s="6" t="inlineStr">
        <x:is>
          <x:t xml:space="preserve">• Do not move to row scoring until the packet_readiness field is Ready and all required fields are locked or explicitly marked jurisdiction-sensitive.</x:t>
        </x:is>
      </x:c>
      <x:c r="B33" s="7" t="n"/>
      <x:c r="C33" s="7" t="n"/>
      <x:c r="D33" s="7" t="n"/>
      <x:c r="E33" s="8" t="n"/>
    </x:row>
  </x:sheetData>
  <x:mergeCells>
    <x:mergeCell ref="A30:E30"/>
    <x:mergeCell ref="A25:E25"/>
    <x:mergeCell ref="A33:E33"/>
    <x:mergeCell ref="A1:E1"/>
    <x:mergeCell ref="A32:E32"/>
    <x:mergeCell ref="A31:E31"/>
    <x:mergeCell ref="A3:E3"/>
  </x:mergeCells>
  <x:dataValidations count="6">
    <x:dataValidation type="list" allowBlank="0" showDropDown="0" showInputMessage="0" showErrorMessage="0" sqref="C5:C22">
      <x:formula1>"Fixed,Fixed but jurisdiction-sensitive,Needs human confirmation"</x:formula1>
    </x:dataValidation>
    <x:dataValidation type="list" allowBlank="1" showDropDown="0" showInputMessage="0" showErrorMessage="0" sqref="B7">
      <x:formula1>"A,B"</x:formula1>
    </x:dataValidation>
    <x:dataValidation type="list" allowBlank="1" showDropDown="0" showInputMessage="0" showErrorMessage="0" sqref="B12">
      <x:formula1>"core_cross_pack_v1,legacy_father_son_v1,custom"</x:formula1>
    </x:dataValidation>
    <x:dataValidation type="list" allowBlank="1" showDropDown="0" showInputMessage="0" showErrorMessage="0" sqref="B22">
      <x:formula1>"Ready,Needs work,Blocked"</x:formula1>
    </x:dataValidation>
    <x:dataValidation type="list" allowBlank="1" showDropDown="0" showInputMessage="0" showErrorMessage="0" sqref="B20">
      <x:formula1>"Source-grounded,Generalized,Mixed"</x:formula1>
    </x:dataValidation>
    <x:dataValidation type="list" allowBlank="1" showDropDown="0" showInputMessage="0" showErrorMessage="0" sqref="B21">
      <x:formula1>"High,Medium,Low,Escalate"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4" customWidth="1"/>
    <x:col min="2" max="2" width="4" customWidth="1"/>
    <x:col min="3" max="3" width="18" customWidth="1"/>
    <x:col min="4" max="4" width="16" customWidth="1"/>
    <x:col min="5" max="5" width="16" customWidth="1"/>
    <x:col min="6" max="6" width="16" customWidth="1"/>
    <x:col min="7" max="7" width="16" customWidth="1"/>
    <x:col min="8" max="8" width="16" customWidth="1"/>
    <x:col min="9" max="9" width="16" customWidth="1"/>
  </x:cols>
  <x:sheetData>
    <x:row r="1" ht="26" customHeight="1">
      <x:c r="A1" s="1" t="inlineStr">
        <x:is>
          <x:t xml:space="preserve">Karthic Row-Weighting + Scoring Workbook v2</x:t>
        </x:is>
      </x:c>
    </x:row>
    <x:row r="3">
      <x:c r="A3" s="24" t="inlineStr">
        <x:is>
          <x:t xml:space="preserve">What this workbook does</x:t>
        </x:is>
      </x:c>
      <x:c r="B3" s="3" t="n"/>
      <x:c r="C3" s="3" t="n"/>
      <x:c r="D3" s="3" t="n"/>
      <x:c r="E3" s="3" t="n"/>
      <x:c r="F3" s="3" t="n"/>
      <x:c r="G3" s="3" t="n"/>
      <x:c r="H3" s="3" t="n"/>
      <x:c r="I3" s="3" t="n"/>
    </x:row>
    <x:row r="4">
      <x:c r="A4" s="4" t="inlineStr">
        <x:is>
          <x:t xml:space="preserve">This workbook now covers the full Karthic flow: packet prefill audit, module and row weighting, single-answer row scoring, cross-pack overlays/caps, and export-ready final fields.</x:t>
        </x:is>
      </x:c>
    </x:row>
    <x:row r="5"/>
    <x:row r="7">
      <x:c r="A7" s="24" t="inlineStr">
        <x:is>
          <x:t xml:space="preserve">Five-step workflow</x:t>
        </x:is>
      </x:c>
      <x:c r="B7" s="3" t="n"/>
      <x:c r="C7" s="3" t="n"/>
      <x:c r="D7" s="3" t="n"/>
      <x:c r="E7" s="3" t="n"/>
      <x:c r="F7" s="3" t="n"/>
      <x:c r="G7" s="3" t="n"/>
      <x:c r="H7" s="3" t="n"/>
      <x:c r="I7" s="3" t="n"/>
    </x:row>
    <x:row r="8">
      <x:c r="A8" s="4" t="inlineStr">
        <x:is>
          <x:t xml:space="preserve">1. In Prefill_Audit, lock the packet fields, including output shell, likely controlling doctrine, required gate order, failure bank, and strongest expected counterargument.</x:t>
        </x:is>
      </x:c>
    </x:row>
    <x:row r="9">
      <x:c r="A9" s="4" t="inlineStr">
        <x:is>
          <x:t xml:space="preserve">2. In Module_Setup, confirm the summary fields and any module-budget override.</x:t>
        </x:is>
      </x:c>
    </x:row>
    <x:row r="10">
      <x:c r="A10" s="4" t="inlineStr">
        <x:is>
          <x:t xml:space="preserve">3. In Anchor_Rows, review the prefilled continuity rows and replace the starter factor inputs with case-specific ratings.</x:t>
        </x:is>
      </x:c>
    </x:row>
    <x:row r="11">
      <x:c r="A11" s="4" t="inlineStr">
        <x:is>
          <x:t xml:space="preserve">4. In Emergent_Rows, add only legally meaningful, recurring centroid-derived rows. Enter evidence factors and overlap scores.</x:t>
        </x:is>
      </x:c>
    </x:row>
    <x:row r="12">
      <x:c r="A12" s="4" t="inlineStr">
        <x:is>
          <x:t xml:space="preserve">5. In Row_Scoring, score each included row on the 0–4 anchor using the locked weights from the weighting sheets.</x:t>
        </x:is>
      </x:c>
    </x:row>
    <x:row r="13">
      <x:c r="A13" t="inlineStr">
        <x:is>
          <x:t xml:space="preserve">6. In Overlay_Scoring, apply only answer-level penalties and at most one cap.</x:t>
        </x:is>
      </x:c>
    </x:row>
    <x:row r="14">
      <x:c r="A14" s="24" t="inlineStr">
        <x:is>
          <x:t xml:space="preserve">7. In Final_Export, copy the export-ready score fields and Zak review flag.</x:t>
        </x:is>
      </x:c>
      <x:c r="B14" s="3" t="n"/>
      <x:c r="C14" s="3" t="n"/>
      <x:c r="D14" s="3" t="n"/>
      <x:c r="E14" s="3" t="n"/>
      <x:c r="F14" s="3" t="n"/>
      <x:c r="G14" s="3" t="n"/>
      <x:c r="H14" s="3" t="n"/>
      <x:c r="I14" s="3" t="n"/>
    </x:row>
    <x:row r="15">
      <x:c r="A15" s="4" t="inlineStr">
        <x:is>
          <x:t xml:space="preserve">Anchor prior score = 0.35×Dispositive Impact + 0.25×Gate Priority + 0.20×Source Support + 0.10×Judgeability + 0.10×Variation Stability</x:t>
        </x:is>
      </x:c>
    </x:row>
    <x:row r="16">
      <x:c r="A16" s="4" t="inlineStr">
        <x:is>
          <x:t xml:space="preserve">Emergent evidence score = (0.30×Discriminative Lift + 0.20×Cluster Mass + 0.20×Stability + 0.15×Legal Anchor + 0.15×Judgeability) × (1 − Overlap/4)</x:t>
        </x:is>
      </x:c>
    </x:row>
    <x:row r="17">
      <x:c r="A17" s="4" t="inlineStr">
        <x:is>
          <x:t xml:space="preserve">Suggested anchor weight = Module Budget × Anchor Prior Score ÷ Module Combined Base Total</x:t>
        </x:is>
      </x:c>
    </x:row>
    <x:row r="18">
      <x:c r="A18" s="4" t="inlineStr">
        <x:is>
          <x:t xml:space="preserve">Suggested emergent weight = Module Budget × Emergent Evidence Score ÷ Module Combined Base Total</x:t>
        </x:is>
      </x:c>
    </x:row>
    <x:row r="19">
      <x:c r="A19" s="4" t="inlineStr">
        <x:is>
          <x:t xml:space="preserve">Locked weight = Human Override if entered; otherwise the worksheet's suggested weight</x:t>
        </x:is>
      </x:c>
    </x:row>
    <x:row r="20">
      <x:c r="A20" s="4" t="inlineStr">
        <x:is>
          <x:t xml:space="preserve">Row score contribution = Locked Weight × (Row Score ÷ 4)</x:t>
        </x:is>
      </x:c>
    </x:row>
    <x:row r="21">
      <x:c r="A21" t="inlineStr">
        <x:is>
          <x:t xml:space="preserve">Final score = max(0, min(100, subtotal + penalties)); then apply one cap if selected</x:t>
        </x:is>
      </x:c>
    </x:row>
    <x:row r="22">
      <x:c r="A22" s="24" t="inlineStr">
        <x:is>
          <x:t xml:space="preserve">Interpretation rules</x:t>
        </x:is>
      </x:c>
      <x:c r="B22" s="3" t="n"/>
      <x:c r="C22" s="3" t="n"/>
      <x:c r="D22" s="3" t="n"/>
      <x:c r="E22" s="3" t="n"/>
      <x:c r="F22" s="3" t="n"/>
      <x:c r="G22" s="3" t="n"/>
      <x:c r="H22" s="3" t="n"/>
      <x:c r="I22" s="3" t="n"/>
    </x:row>
    <x:row r="23">
      <x:c r="A23" s="4" t="inlineStr">
        <x:is>
          <x:t xml:space="preserve">• Starter factor inputs for the standard anchor rows are designed to reproduce the familiar continuity weights by default. Replace them when a pack or benchmark needs a different emphasis.</x:t>
        </x:is>
      </x:c>
    </x:row>
    <x:row r="24">
      <x:c r="A24" s="4" t="inlineStr">
        <x:is>
          <x:t xml:space="preserve">• Emergent rows should remain provisional. A capped emergent row is not automatically wrong; it means the row needs SME confirmation before it can take more weight.</x:t>
        </x:is>
      </x:c>
    </x:row>
    <x:row r="25">
      <x:c r="A25" s="4" t="inlineStr">
        <x:is>
          <x:t xml:space="preserve">• A module buffer means some weight remains intentionally unallocated because capped emergent rows did not absorb the whole module budget. That is a review signal, not a spreadsheet bug.</x:t>
        </x:is>
      </x:c>
    </x:row>
    <x:row r="26">
      <x:c r="A26" s="4" t="inlineStr">
        <x:is>
          <x:t xml:space="preserve">• Row scoring pulls locked weights directly from Anchor_Rows and Emergent_Rows. Score rows first; apply overlays only after the subtotal is visible.</x:t>
        </x:is>
      </x:c>
    </x:row>
    <x:row r="27">
      <x:c r="A27" t="inlineStr">
        <x:is>
          <x:t xml:space="preserve">• Final_Export is designed to mirror the required 09 export fields: penalties_applied, cap_status, subtotal, post_penalty_score, final_score, and zak_review_flag.</x:t>
        </x:is>
      </x:c>
    </x:row>
    <x:row r="29">
      <x:c r="A29" s="24" t="inlineStr">
        <x:is>
          <x:t xml:space="preserve">Color guide</x:t>
        </x:is>
      </x:c>
      <x:c r="B29" s="3" t="n"/>
      <x:c r="C29" s="3" t="n"/>
      <x:c r="D29" s="3" t="n"/>
      <x:c r="E29" s="3" t="n"/>
      <x:c r="F29" s="3" t="n"/>
      <x:c r="G29" s="3" t="n"/>
      <x:c r="H29" s="3" t="n"/>
      <x:c r="I29" s="3" t="n"/>
    </x:row>
    <x:row r="30">
      <x:c r="A30" s="5" t="inlineStr">
        <x:is>
          <x:t xml:space="preserve">Blue fill + blue text</x:t>
        </x:is>
      </x:c>
      <x:c r="C30" s="6" t="inlineStr">
        <x:is>
          <x:t xml:space="preserve">Editable inputs</x:t>
        </x:is>
      </x:c>
      <x:c r="D30" s="7" t="n"/>
      <x:c r="E30" s="7" t="n"/>
      <x:c r="F30" s="7" t="n"/>
      <x:c r="G30" s="7" t="n"/>
      <x:c r="H30" s="7" t="n"/>
      <x:c r="I30" s="8" t="n"/>
    </x:row>
    <x:row r="31">
      <x:c r="A31" s="5" t="inlineStr">
        <x:is>
          <x:t xml:space="preserve">Black text</x:t>
        </x:is>
      </x:c>
      <x:c r="C31" s="6" t="inlineStr">
        <x:is>
          <x:t xml:space="preserve">Formula outputs</x:t>
        </x:is>
      </x:c>
      <x:c r="D31" s="7" t="n"/>
      <x:c r="E31" s="7" t="n"/>
      <x:c r="F31" s="7" t="n"/>
      <x:c r="G31" s="7" t="n"/>
      <x:c r="H31" s="7" t="n"/>
      <x:c r="I31" s="8" t="n"/>
    </x:row>
    <x:row r="32">
      <x:c r="A32" s="5" t="inlineStr">
        <x:is>
          <x:t xml:space="preserve">Orange text / orange fill</x:t>
        </x:is>
      </x:c>
      <x:c r="C32" s="6" t="inlineStr">
        <x:is>
          <x:t xml:space="preserve">Review flags</x:t>
        </x:is>
      </x:c>
      <x:c r="D32" s="7" t="n"/>
      <x:c r="E32" s="7" t="n"/>
      <x:c r="F32" s="7" t="n"/>
      <x:c r="G32" s="7" t="n"/>
      <x:c r="H32" s="7" t="n"/>
      <x:c r="I32" s="8" t="n"/>
    </x:row>
    <x:row r="33">
      <x:c r="A33" s="5" t="inlineStr">
        <x:is>
          <x:t xml:space="preserve">Dark blue bands</x:t>
        </x:is>
      </x:c>
      <x:c r="C33" s="6" t="inlineStr">
        <x:is>
          <x:t xml:space="preserve">Section headers</x:t>
        </x:is>
      </x:c>
      <x:c r="D33" s="7" t="n"/>
      <x:c r="E33" s="7" t="n"/>
      <x:c r="F33" s="7" t="n"/>
      <x:c r="G33" s="7" t="n"/>
      <x:c r="H33" s="7" t="n"/>
      <x:c r="I33" s="8" t="n"/>
    </x:row>
  </x:sheetData>
  <x:mergeCells>
    <x:mergeCell ref="A7:I7"/>
    <x:mergeCell ref="A25:I25"/>
    <x:mergeCell ref="A18:I18"/>
    <x:mergeCell ref="C32:I32"/>
    <x:mergeCell ref="A3:I3"/>
    <x:mergeCell ref="A12:I12"/>
    <x:mergeCell ref="A26:I26"/>
    <x:mergeCell ref="A14:I14"/>
    <x:mergeCell ref="A17:I17"/>
    <x:mergeCell ref="A23:I23"/>
    <x:mergeCell ref="A8:I8"/>
    <x:mergeCell ref="C30:I30"/>
    <x:mergeCell ref="A22:I22"/>
    <x:mergeCell ref="C33:I33"/>
    <x:mergeCell ref="A20:I20"/>
    <x:mergeCell ref="A29:I29"/>
    <x:mergeCell ref="A19:I19"/>
    <x:mergeCell ref="A10:I10"/>
    <x:mergeCell ref="A9:I9"/>
    <x:mergeCell ref="A24:I24"/>
    <x:mergeCell ref="A15:I15"/>
    <x:mergeCell ref="C31:I31"/>
    <x:mergeCell ref="A11:I11"/>
    <x:mergeCell ref="A1:I1"/>
    <x:mergeCell ref="A4:I5"/>
    <x:mergeCell ref="A16:I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2" customWidth="1"/>
    <x:col min="2" max="2" width="18" customWidth="1"/>
    <x:col min="3" max="3" width="18" customWidth="1"/>
    <x:col min="4" max="4" width="22" customWidth="1"/>
    <x:col min="5" max="5" width="16" customWidth="1"/>
    <x:col min="6" max="6" width="20" customWidth="1"/>
    <x:col min="7" max="7" width="18" customWidth="1"/>
    <x:col min="8" max="8" width="18" customWidth="1"/>
    <x:col min="9" max="9" width="18" customWidth="1"/>
  </x:cols>
  <x:sheetData>
    <x:row r="1" ht="26" customHeight="1">
      <x:c r="A1" s="1" t="inlineStr">
        <x:is>
          <x:t xml:space="preserve">Module setup and summary</x:t>
        </x:is>
      </x:c>
    </x:row>
    <x:row r="3" ht="28" customHeight="1">
      <x:c r="A3" s="9" t="inlineStr">
        <x:is>
          <x:t xml:space="preserve">Selected pack</x:t>
        </x:is>
      </x:c>
      <x:c r="B3" s="20">
        <x:f>IF(Prefill_Audit!$B$5="","",Prefill_Audit!$B$5)</x:f>
      </x:c>
      <x:c r="C3" s="9" t="inlineStr">
        <x:is>
          <x:t xml:space="preserve">Doctrine family</x:t>
        </x:is>
      </x:c>
      <x:c r="D3" s="20">
        <x:f>IF(Prefill_Audit!$B$6="","",Prefill_Audit!$B$6)</x:f>
      </x:c>
      <x:c r="E3" s="9" t="inlineStr">
        <x:is>
          <x:t xml:space="preserve">Variation lane</x:t>
        </x:is>
      </x:c>
      <x:c r="F3" s="20" t="str">
        <x:f>IF(Prefill_Audit!$B$7="","",Prefill_Audit!$B$7)</x:f>
        <x:v>A</x:v>
      </x:c>
      <x:c r="G3" s="9" t="inlineStr">
        <x:is>
          <x:t xml:space="preserve">Benchmark posture</x:t>
        </x:is>
      </x:c>
      <x:c r="H3" s="20">
        <x:f>IF(Prefill_Audit!$B$8="","",Prefill_Audit!$B$8)</x:f>
      </x:c>
    </x:row>
    <x:row r="4">
      <x:c r="A4" s="25" t="inlineStr">
        <x:is>
          <x:t xml:space="preserve">Likely controlling doctrine</x:t>
        </x:is>
      </x:c>
      <x:c r="B4" s="20">
        <x:f>IF(Prefill_Audit!$B$9="","",Prefill_Audit!$B$9)</x:f>
      </x:c>
      <x:c r="C4" s="25" t="inlineStr">
        <x:is>
          <x:t xml:space="preserve">Output shell</x:t>
        </x:is>
      </x:c>
      <x:c r="D4" s="20" t="str">
        <x:f>IF(Prefill_Audit!$B$12="","",Prefill_Audit!$B$12)</x:f>
        <x:v>core_cross_pack_v1</x:v>
      </x:c>
      <x:c r="E4" s="25" t="inlineStr">
        <x:is>
          <x:t xml:space="preserve">Failure bank</x:t>
        </x:is>
      </x:c>
      <x:c r="F4" s="20">
        <x:f>IF(Prefill_Audit!$B$15="","",Prefill_Audit!$B$15)</x:f>
      </x:c>
      <x:c r="G4" s="25" t="inlineStr">
        <x:is>
          <x:t xml:space="preserve">Packet readiness</x:t>
        </x:is>
      </x:c>
      <x:c r="H4" s="20" t="str">
        <x:f>IF(Prefill_Audit!$B$22="","",Prefill_Audit!$B$22)</x:f>
        <x:v>Needs work</x:v>
      </x:c>
    </x:row>
    <x:row r="5">
      <x:c r="A5" s="24" t="inlineStr">
        <x:is>
          <x:t xml:space="preserve">Module budgets and weighting summary</x:t>
        </x:is>
      </x:c>
      <x:c r="B5" s="3" t="n"/>
      <x:c r="C5" s="3" t="n"/>
      <x:c r="D5" s="3" t="n"/>
      <x:c r="E5" s="3" t="n"/>
      <x:c r="F5" s="3" t="n"/>
      <x:c r="G5" s="3" t="n"/>
      <x:c r="H5" s="3" t="n"/>
      <x:c r="I5" s="3" t="n"/>
    </x:row>
    <x:row r="6">
      <x:c r="A6" s="11" t="inlineStr">
        <x:is>
          <x:t xml:space="preserve">Module</x:t>
        </x:is>
      </x:c>
      <x:c r="B6" s="11" t="inlineStr">
        <x:is>
          <x:t xml:space="preserve">Default Budget</x:t>
        </x:is>
      </x:c>
      <x:c r="C6" s="11" t="inlineStr">
        <x:is>
          <x:t xml:space="preserve">Override Budget</x:t>
        </x:is>
      </x:c>
      <x:c r="D6" s="11" t="inlineStr">
        <x:is>
          <x:t xml:space="preserve">Final Budget</x:t>
        </x:is>
      </x:c>
      <x:c r="E6" s="11" t="inlineStr">
        <x:is>
          <x:t xml:space="preserve">Largest Locked Anchor Weight</x:t>
        </x:is>
      </x:c>
      <x:c r="F6" s="11" t="inlineStr">
        <x:is>
          <x:t xml:space="preserve">Final Allocated Weight</x:t>
        </x:is>
      </x:c>
      <x:c r="G6" s="11" t="inlineStr">
        <x:is>
          <x:t xml:space="preserve">Unassigned Buffer</x:t>
        </x:is>
      </x:c>
      <x:c r="H6" s="11" t="inlineStr">
        <x:is>
          <x:t xml:space="preserve">Review Flag</x:t>
        </x:is>
      </x:c>
      <x:c r="I6" s="11" t="inlineStr">
        <x:is>
          <x:t xml:space="preserve">Notes</x:t>
        </x:is>
      </x:c>
    </x:row>
    <x:row r="7">
      <x:c r="A7" s="12" t="inlineStr">
        <x:is>
          <x:t xml:space="preserve">Module 1</x:t>
        </x:is>
      </x:c>
      <x:c r="B7" s="13" t="n">
        <x:v>28</x:v>
      </x:c>
      <x:c r="C7" s="10" t="n"/>
      <x:c r="D7" s="14">
        <x:f>IF(C7="",B7,C7)</x:f>
        <x:v>28</x:v>
      </x:c>
      <x:c r="E7" s="14">
        <x:f>MAX(Anchor_Rows!$O$4:$O$10)</x:f>
        <x:v>15.000000000000002</x:v>
      </x:c>
      <x:c r="F7" s="14">
        <x:f>SUM(Anchor_Rows!$O$4:$O$10)+SUM(Emergent_Rows!$T$4:$T$8)</x:f>
        <x:v>28.000000000000004</x:v>
      </x:c>
      <x:c r="G7" s="14">
        <x:f>D7-F7</x:f>
        <x:v>-3.552713678800501e-15</x:v>
      </x:c>
      <x:c r="H7" s="15">
        <x:f>IF(OR(C7&lt;&gt;"",ABS(G7)&gt;0.1),"REVIEW","")</x:f>
      </x:c>
      <x:c r="I7" s="10" t="n"/>
    </x:row>
    <x:row r="8">
      <x:c r="A8" s="12" t="inlineStr">
        <x:is>
          <x:t xml:space="preserve">Module 2</x:t>
        </x:is>
      </x:c>
      <x:c r="B8" s="13" t="n">
        <x:v>40</x:v>
      </x:c>
      <x:c r="C8" s="10" t="n"/>
      <x:c r="D8" s="14">
        <x:f>IF(C8="",B8,C8)</x:f>
        <x:v>40</x:v>
      </x:c>
      <x:c r="E8" s="14">
        <x:f>MAX(Anchor_Rows!$O$11:$O$21)</x:f>
        <x:v>15</x:v>
      </x:c>
      <x:c r="F8" s="14">
        <x:f>SUM(Anchor_Rows!$O$11:$O$21)+SUM(Emergent_Rows!$T$9:$T$16)</x:f>
        <x:v>40</x:v>
      </x:c>
      <x:c r="G8" s="14">
        <x:f>D8-F8</x:f>
        <x:v>0</x:v>
      </x:c>
      <x:c r="H8" s="15">
        <x:f>IF(OR(C8&lt;&gt;"",ABS(G8)&gt;0.1),"REVIEW","")</x:f>
      </x:c>
      <x:c r="I8" s="10" t="n"/>
    </x:row>
    <x:row r="9">
      <x:c r="A9" s="12" t="inlineStr">
        <x:is>
          <x:t xml:space="preserve">Module 3</x:t>
        </x:is>
      </x:c>
      <x:c r="B9" s="13" t="n">
        <x:v>19</x:v>
      </x:c>
      <x:c r="C9" s="10" t="n"/>
      <x:c r="D9" s="14">
        <x:f>IF(C9="",B9,C9)</x:f>
        <x:v>19</x:v>
      </x:c>
      <x:c r="E9" s="14">
        <x:f>MAX(Anchor_Rows!$O$22:$O$30)</x:f>
        <x:v>7</x:v>
      </x:c>
      <x:c r="F9" s="14">
        <x:f>SUM(Anchor_Rows!$O$22:$O$30)+SUM(Emergent_Rows!$T$17:$T$22)</x:f>
        <x:v>19</x:v>
      </x:c>
      <x:c r="G9" s="14">
        <x:f>D9-F9</x:f>
        <x:v>0</x:v>
      </x:c>
      <x:c r="H9" s="15">
        <x:f>IF(OR(C9&lt;&gt;"",ABS(G9)&gt;0.1),"REVIEW","")</x:f>
      </x:c>
      <x:c r="I9" s="10" t="n"/>
    </x:row>
    <x:row r="10">
      <x:c r="A10" s="12" t="inlineStr">
        <x:is>
          <x:t xml:space="preserve">Module 4</x:t>
        </x:is>
      </x:c>
      <x:c r="B10" s="13" t="n">
        <x:v>13</x:v>
      </x:c>
      <x:c r="C10" s="10" t="n"/>
      <x:c r="D10" s="14">
        <x:f>IF(C10="",B10,C10)</x:f>
        <x:v>13</x:v>
      </x:c>
      <x:c r="E10" s="14">
        <x:f>MAX(Anchor_Rows!$O$31:$O$39)</x:f>
        <x:v>5</x:v>
      </x:c>
      <x:c r="F10" s="14">
        <x:f>SUM(Anchor_Rows!$O$31:$O$39)+SUM(Emergent_Rows!$T$23:$T$28)</x:f>
        <x:v>13</x:v>
      </x:c>
      <x:c r="G10" s="14">
        <x:f>D10-F10</x:f>
        <x:v>0</x:v>
      </x:c>
      <x:c r="H10" s="15">
        <x:f>IF(OR(C10&lt;&gt;"",ABS(G10)&gt;0.1),"REVIEW","")</x:f>
      </x:c>
      <x:c r="I10" s="10" t="n"/>
    </x:row>
    <x:row r="12">
      <x:c r="A12" s="24" t="inlineStr">
        <x:is>
          <x:t xml:space="preserve">Combined base totals used by the formulas</x:t>
        </x:is>
      </x:c>
      <x:c r="B12" s="3" t="n"/>
      <x:c r="C12" s="3" t="n"/>
      <x:c r="D12" s="3" t="n"/>
      <x:c r="E12" s="3" t="n"/>
      <x:c r="F12" s="3" t="n"/>
      <x:c r="G12" s="3" t="n"/>
      <x:c r="H12" s="3" t="n"/>
      <x:c r="I12" s="3" t="n"/>
    </x:row>
    <x:row r="13">
      <x:c r="A13" s="16" t="inlineStr">
        <x:is>
          <x:t xml:space="preserve">Module</x:t>
        </x:is>
      </x:c>
      <x:c r="B13" s="16" t="inlineStr">
        <x:is>
          <x:t xml:space="preserve">Anchor Prior Total</x:t>
        </x:is>
      </x:c>
      <x:c r="C13" s="16" t="inlineStr">
        <x:is>
          <x:t xml:space="preserve">Emergent Evidence Total</x:t>
        </x:is>
      </x:c>
      <x:c r="D13" s="16" t="inlineStr">
        <x:is>
          <x:t xml:space="preserve">Combined Base Total</x:t>
        </x:is>
      </x:c>
      <x:c r="E13" s="17" t="n"/>
      <x:c r="F13" s="17" t="n"/>
      <x:c r="G13" s="17" t="n"/>
      <x:c r="H13" s="17" t="n"/>
      <x:c r="I13" s="17" t="n"/>
    </x:row>
    <x:row r="14">
      <x:c r="A14" s="12" t="inlineStr">
        <x:is>
          <x:t xml:space="preserve">Module 1</x:t>
        </x:is>
      </x:c>
      <x:c r="B14" s="14">
        <x:f>SUM(Anchor_Rows!$K$4:$K$10)</x:f>
        <x:v>5.6</x:v>
      </x:c>
      <x:c r="C14" s="14">
        <x:f>SUM(Emergent_Rows!$M$4:$M$8)</x:f>
        <x:v>0</x:v>
      </x:c>
      <x:c r="D14" s="14">
        <x:f>B14+C14</x:f>
        <x:v>5.6</x:v>
      </x:c>
    </x:row>
    <x:row r="15">
      <x:c r="A15" s="12" t="inlineStr">
        <x:is>
          <x:t xml:space="preserve">Module 2</x:t>
        </x:is>
      </x:c>
      <x:c r="B15" s="14">
        <x:f>SUM(Anchor_Rows!$K$11:$K$21)</x:f>
        <x:v>8</x:v>
      </x:c>
      <x:c r="C15" s="14">
        <x:f>SUM(Emergent_Rows!$M$9:$M$16)</x:f>
        <x:v>0</x:v>
      </x:c>
      <x:c r="D15" s="14">
        <x:f>B15+C15</x:f>
        <x:v>8</x:v>
      </x:c>
    </x:row>
    <x:row r="16">
      <x:c r="A16" s="12" t="inlineStr">
        <x:is>
          <x:t xml:space="preserve">Module 3</x:t>
        </x:is>
      </x:c>
      <x:c r="B16" s="14">
        <x:f>SUM(Anchor_Rows!$K$22:$K$30)</x:f>
        <x:v>3.7999999999999994</x:v>
      </x:c>
      <x:c r="C16" s="14">
        <x:f>SUM(Emergent_Rows!$M$17:$M$22)</x:f>
        <x:v>0</x:v>
      </x:c>
      <x:c r="D16" s="14">
        <x:f>B16+C16</x:f>
        <x:v>3.7999999999999994</x:v>
      </x:c>
    </x:row>
    <x:row r="17">
      <x:c r="A17" s="12" t="inlineStr">
        <x:is>
          <x:t xml:space="preserve">Module 4</x:t>
        </x:is>
      </x:c>
      <x:c r="B17" s="14">
        <x:f>SUM(Anchor_Rows!$K$31:$K$39)</x:f>
        <x:v>3.25</x:v>
      </x:c>
      <x:c r="C17" s="14">
        <x:f>SUM(Emergent_Rows!$M$23:$M$28)</x:f>
        <x:v>0</x:v>
      </x:c>
      <x:c r="D17" s="14">
        <x:f>B17+C17</x:f>
        <x:v>3.25</x:v>
      </x:c>
    </x:row>
    <x:row r="19">
      <x:c r="A19" s="18" t="inlineStr">
        <x:is>
          <x:t xml:space="preserve">Total</x:t>
        </x:is>
      </x:c>
      <x:c r="D19" s="14">
        <x:f>SUM(D7:D10)</x:f>
        <x:v>100</x:v>
      </x:c>
      <x:c r="F19" s="14">
        <x:f>SUM(F7:F10)</x:f>
        <x:v>100</x:v>
      </x:c>
      <x:c r="G19" s="14">
        <x:f>SUM(G7:G10)</x:f>
        <x:v>-3.552713678800501e-15</x:v>
      </x:c>
      <x:c r="H19" s="15">
        <x:f>IF(ABS(D19-100)&gt;0.1,"CHECK BUDGETS","")</x:f>
      </x:c>
    </x:row>
    <x:row r="21">
      <x:c r="A21" s="24" t="inlineStr">
        <x:is>
          <x:t xml:space="preserve">Review rules</x:t>
        </x:is>
      </x:c>
      <x:c r="B21" s="3" t="n"/>
      <x:c r="C21" s="3" t="n"/>
      <x:c r="D21" s="3" t="n"/>
      <x:c r="E21" s="3" t="n"/>
      <x:c r="F21" s="3" t="n"/>
      <x:c r="G21" s="3" t="n"/>
      <x:c r="H21" s="3" t="n"/>
      <x:c r="I21" s="3" t="n"/>
    </x:row>
    <x:row r="22">
      <x:c r="A22" s="4" t="inlineStr">
        <x:is>
          <x:t xml:space="preserve">• Review any module override, any non-zero buffer, any capped emergent row, or any low-legal-anchor emergent row.</x:t>
        </x:is>
      </x:c>
    </x:row>
    <x:row r="23">
      <x:c r="A23" s="4" t="inlineStr">
        <x:is>
          <x:t xml:space="preserve">• The summary assumes new anchor rows stay inside the blank anchor slots and new emergent rows stay inside the blank emergent slots.</x:t>
        </x:is>
      </x:c>
    </x:row>
    <x:row r="24">
      <x:c r="A24" s="4" t="inlineStr">
        <x:is>
          <x:t xml:space="preserve">• This workbook now links packet audit -&gt; row weights -&gt; row scoring -&gt; overlays/caps -&gt; final export.</x:t>
        </x:is>
      </x:c>
    </x:row>
  </x:sheetData>
  <x:mergeCells>
    <x:mergeCell ref="A5:I5"/>
    <x:mergeCell ref="A1:I1"/>
    <x:mergeCell ref="A23:I23"/>
    <x:mergeCell ref="A22:I22"/>
    <x:mergeCell ref="A12:I12"/>
    <x:mergeCell ref="A24:I24"/>
    <x:mergeCell ref="A21:I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0" customWidth="1"/>
    <x:col min="2" max="2" width="12" customWidth="1"/>
    <x:col min="3" max="3" width="10" customWidth="1"/>
    <x:col min="4" max="4" width="46" customWidth="1"/>
    <x:col min="5" max="5" width="18" customWidth="1"/>
    <x:col min="6" max="6" width="16" customWidth="1"/>
    <x:col min="7" max="7" width="14" customWidth="1"/>
    <x:col min="8" max="8" width="14" customWidth="1"/>
    <x:col min="9" max="9" width="12" customWidth="1"/>
    <x:col min="10" max="10" width="16" customWidth="1"/>
    <x:col min="11" max="11" width="12" customWidth="1"/>
    <x:col min="12" max="12" width="16" customWidth="1"/>
    <x:col min="13" max="13" width="14" customWidth="1"/>
    <x:col min="14" max="14" width="14" customWidth="1"/>
    <x:col min="15" max="15" width="12" customWidth="1"/>
    <x:col min="16" max="16" width="18" customWidth="1"/>
    <x:col min="17" max="17" width="24" customWidth="1"/>
  </x:cols>
  <x:sheetData>
    <x:row r="1" ht="26" customHeight="1">
      <x:c r="A1" s="1" t="inlineStr">
        <x:is>
          <x:t xml:space="preserve">Anchor rows (prefilled and pack-grounded)</x:t>
        </x:is>
      </x:c>
    </x:row>
    <x:row r="2">
      <x:c r="A2" s="4" t="inlineStr">
        <x:is>
          <x:t xml:space="preserve">Edit blue cells only. Starter factor inputs mirror the current continuity weights; replace them with case-specific values after the prefill audit.</x:t>
        </x:is>
      </x:c>
    </x:row>
    <x:row r="3">
      <x:c r="A3" s="11" t="inlineStr">
        <x:is>
          <x:t xml:space="preserve">Include?</x:t>
        </x:is>
      </x:c>
      <x:c r="B3" s="11" t="inlineStr">
        <x:is>
          <x:t xml:space="preserve">Module</x:t>
        </x:is>
      </x:c>
      <x:c r="C3" s="11" t="inlineStr">
        <x:is>
          <x:t xml:space="preserve">Row Code</x:t>
        </x:is>
      </x:c>
      <x:c r="D3" s="11" t="inlineStr">
        <x:is>
          <x:t xml:space="preserve">Row Label</x:t>
        </x:is>
      </x:c>
      <x:c r="E3" s="11" t="inlineStr">
        <x:is>
          <x:t xml:space="preserve">Role</x:t>
        </x:is>
      </x:c>
      <x:c r="F3" s="11" t="inlineStr">
        <x:is>
          <x:t xml:space="preserve">Dispositive Impact</x:t>
        </x:is>
      </x:c>
      <x:c r="G3" s="11" t="inlineStr">
        <x:is>
          <x:t xml:space="preserve">Gate Priority</x:t>
        </x:is>
      </x:c>
      <x:c r="H3" s="11" t="inlineStr">
        <x:is>
          <x:t xml:space="preserve">Source Support</x:t>
        </x:is>
      </x:c>
      <x:c r="I3" s="11" t="inlineStr">
        <x:is>
          <x:t xml:space="preserve">Judgeability</x:t>
        </x:is>
      </x:c>
      <x:c r="J3" s="11" t="inlineStr">
        <x:is>
          <x:t xml:space="preserve">Variation Stability</x:t>
        </x:is>
      </x:c>
      <x:c r="K3" s="11" t="inlineStr">
        <x:is>
          <x:t xml:space="preserve">Prior Score</x:t>
        </x:is>
      </x:c>
      <x:c r="L3" s="11" t="inlineStr">
        <x:is>
          <x:t xml:space="preserve">Combined Base Total</x:t>
        </x:is>
      </x:c>
      <x:c r="M3" s="11" t="inlineStr">
        <x:is>
          <x:t xml:space="preserve">Suggested Weight</x:t>
        </x:is>
      </x:c>
      <x:c r="N3" s="11" t="inlineStr">
        <x:is>
          <x:t xml:space="preserve">Human Override</x:t>
        </x:is>
      </x:c>
      <x:c r="O3" s="11" t="inlineStr">
        <x:is>
          <x:t xml:space="preserve">Locked Weight</x:t>
        </x:is>
      </x:c>
      <x:c r="P3" s="11" t="inlineStr">
        <x:is>
          <x:t xml:space="preserve">Review Flag</x:t>
        </x:is>
      </x:c>
      <x:c r="Q3" s="11" t="inlineStr">
        <x:is>
          <x:t xml:space="preserve">Notes</x:t>
        </x:is>
      </x:c>
    </x:row>
    <x:row r="4" ht="26" customHeight="1">
      <x:c r="A4" s="19" t="inlineStr">
        <x:is>
          <x:t xml:space="preserve">Y</x:t>
        </x:is>
      </x:c>
      <x:c r="B4" s="19" t="inlineStr">
        <x:is>
          <x:t xml:space="preserve">Module 1</x:t>
        </x:is>
      </x:c>
      <x:c r="C4" s="19" t="inlineStr">
        <x:is>
          <x:t xml:space="preserve">A</x:t>
        </x:is>
      </x:c>
      <x:c r="D4" s="19" t="inlineStr">
        <x:is>
          <x:t xml:space="preserve">Issue spotting + prioritization</x:t>
        </x:is>
      </x:c>
      <x:c r="E4" s="19" t="inlineStr">
        <x:is>
          <x:t xml:space="preserve">Secondary</x:t>
        </x:is>
      </x:c>
      <x:c r="F4" s="20" t="n">
        <x:v>3</x:v>
      </x:c>
      <x:c r="G4" s="20" t="n">
        <x:v>3</x:v>
      </x:c>
      <x:c r="H4" s="20" t="n">
        <x:v>3</x:v>
      </x:c>
      <x:c r="I4" s="20" t="n">
        <x:v>3</x:v>
      </x:c>
      <x:c r="J4" s="20" t="n">
        <x:v>3</x:v>
      </x:c>
      <x:c r="K4" s="21">
        <x:f>IF(AND($A4="Y",$C4&lt;&gt;""),0.35*$F4+0.25*$G4+0.20*$H4+0.10*$I4+0.10*$J4,"")</x:f>
        <x:v>3</x:v>
      </x:c>
      <x:c r="L4" s="21">
        <x:f>Module_Setup!$D$14</x:f>
        <x:v>5.6</x:v>
      </x:c>
      <x:c r="M4" s="21">
        <x:f>IF(OR($A4&lt;&gt;"Y",$K4&lt;=0,$L4&lt;=0),"",Module_Setup!$D$7*$K4/$L4)</x:f>
        <x:v>15.000000000000002</x:v>
      </x:c>
      <x:c r="N4" s="20" t="n"/>
      <x:c r="O4" s="21">
        <x:f>IF($N4="",$M4,$N4)</x:f>
        <x:v>15.000000000000002</x:v>
      </x:c>
      <x:c r="P4" s="22">
        <x:f>IF($A4&lt;&gt;"Y","",IF($N4&lt;&gt;"","Override used",""))</x:f>
      </x:c>
      <x:c r="Q4" s="19" t="n"/>
    </x:row>
    <x:row r="5" ht="22" customHeight="1">
      <x:c r="A5" s="10" t="inlineStr">
        <x:is>
          <x:t xml:space="preserve">Y</x:t>
        </x:is>
      </x:c>
      <x:c r="B5" s="10" t="inlineStr">
        <x:is>
          <x:t xml:space="preserve">Module 1</x:t>
        </x:is>
      </x:c>
      <x:c r="C5" s="10" t="inlineStr">
        <x:is>
          <x:t xml:space="preserve">K</x:t>
        </x:is>
      </x:c>
      <x:c r="D5" s="10" t="inlineStr">
        <x:is>
          <x:t xml:space="preserve">Barrier stacking + exception mapping</x:t>
        </x:is>
      </x:c>
      <x:c r="E5" s="10" t="inlineStr">
        <x:is>
          <x:t xml:space="preserve">Secondary</x:t>
        </x:is>
      </x:c>
      <x:c r="F5" s="23" t="n">
        <x:v>1.6</x:v>
      </x:c>
      <x:c r="G5" s="23" t="n">
        <x:v>1.6</x:v>
      </x:c>
      <x:c r="H5" s="23" t="n">
        <x:v>1.6</x:v>
      </x:c>
      <x:c r="I5" s="23" t="n">
        <x:v>1.6</x:v>
      </x:c>
      <x:c r="J5" s="23" t="n">
        <x:v>1.6</x:v>
      </x:c>
      <x:c r="K5" s="14">
        <x:f>IF(AND($A5="Y",$C5&lt;&gt;""),0.35*$F5+0.25*$G5+0.20*$H5+0.10*$I5+0.10*$J5,"")</x:f>
        <x:v>1.6</x:v>
      </x:c>
      <x:c r="L5" s="14">
        <x:f>Module_Setup!$D$14</x:f>
        <x:v>5.6</x:v>
      </x:c>
      <x:c r="M5" s="14">
        <x:f>IF(OR($A5&lt;&gt;"Y",$K5&lt;=0,$L5&lt;=0),"",Module_Setup!$D$7*$K5/$L5)</x:f>
        <x:v>8.000000000000002</x:v>
      </x:c>
      <x:c r="N5" s="23" t="n"/>
      <x:c r="O5" s="14">
        <x:f>IF($N5="",$M5,$N5)</x:f>
        <x:v>8.000000000000002</x:v>
      </x:c>
      <x:c r="P5" s="15">
        <x:f>IF($A5&lt;&gt;"Y","",IF($N5&lt;&gt;"","Override used",""))</x:f>
      </x:c>
      <x:c r="Q5" s="10" t="n"/>
    </x:row>
    <x:row r="6" ht="22" customHeight="1">
      <x:c r="A6" s="10" t="inlineStr">
        <x:is>
          <x:t xml:space="preserve">Y</x:t>
        </x:is>
      </x:c>
      <x:c r="B6" s="10" t="inlineStr">
        <x:is>
          <x:t xml:space="preserve">Module 1</x:t>
        </x:is>
      </x:c>
      <x:c r="C6" s="10" t="inlineStr">
        <x:is>
          <x:t xml:space="preserve">J</x:t>
        </x:is>
      </x:c>
      <x:c r="D6" s="10" t="inlineStr">
        <x:is>
          <x:t xml:space="preserve">Clear bottom line + structured reasoning</x:t>
        </x:is>
      </x:c>
      <x:c r="E6" s="10" t="inlineStr">
        <x:is>
          <x:t xml:space="preserve">Secondary</x:t>
        </x:is>
      </x:c>
      <x:c r="F6" s="23" t="n">
        <x:v>1</x:v>
      </x:c>
      <x:c r="G6" s="23" t="n">
        <x:v>1</x:v>
      </x:c>
      <x:c r="H6" s="23" t="n">
        <x:v>1</x:v>
      </x:c>
      <x:c r="I6" s="23" t="n">
        <x:v>1</x:v>
      </x:c>
      <x:c r="J6" s="23" t="n">
        <x:v>1</x:v>
      </x:c>
      <x:c r="K6" s="14">
        <x:f>IF(AND($A6="Y",$C6&lt;&gt;""),0.35*$F6+0.25*$G6+0.20*$H6+0.10*$I6+0.10*$J6,"")</x:f>
        <x:v>1</x:v>
      </x:c>
      <x:c r="L6" s="14">
        <x:f>Module_Setup!$D$14</x:f>
        <x:v>5.6</x:v>
      </x:c>
      <x:c r="M6" s="14">
        <x:f>IF(OR($A6&lt;&gt;"Y",$K6&lt;=0,$L6&lt;=0),"",Module_Setup!$D$7*$K6/$L6)</x:f>
        <x:v>5</x:v>
      </x:c>
      <x:c r="N6" s="23" t="n"/>
      <x:c r="O6" s="14">
        <x:f>IF($N6="",$M6,$N6)</x:f>
        <x:v>5</x:v>
      </x:c>
      <x:c r="P6" s="15">
        <x:f>IF($A6&lt;&gt;"Y","",IF($N6&lt;&gt;"","Override used",""))</x:f>
      </x:c>
      <x:c r="Q6" s="10" t="n"/>
    </x:row>
    <x:row r="7" ht="22" customHeight="1">
      <x:c r="A7" s="10" t="inlineStr">
        <x:is>
          <x:t xml:space="preserve">N</x:t>
        </x:is>
      </x:c>
      <x:c r="B7" s="10" t="inlineStr">
        <x:is>
          <x:t xml:space="preserve">Module 1</x:t>
        </x:is>
      </x:c>
      <x:c r="C7" s="10" t="inlineStr">
        <x:is>
          <x:t xml:space="preserve"/>
        </x:is>
      </x:c>
      <x:c r="D7" s="10" t="inlineStr">
        <x:is>
          <x:t xml:space="preserve"/>
        </x:is>
      </x:c>
      <x:c r="E7" s="10" t="inlineStr">
        <x:is>
          <x:t xml:space="preserve">Secondary</x:t>
        </x:is>
      </x:c>
      <x:c r="F7" s="23" t="n"/>
      <x:c r="G7" s="23" t="n"/>
      <x:c r="H7" s="23" t="n"/>
      <x:c r="I7" s="23" t="n"/>
      <x:c r="J7" s="23" t="n"/>
      <x:c r="K7" s="14">
        <x:f>IF(AND($A7="Y",$C7&lt;&gt;""),0.35*$F7+0.25*$G7+0.20*$H7+0.10*$I7+0.10*$J7,"")</x:f>
      </x:c>
      <x:c r="L7" s="14">
        <x:f>Module_Setup!$D$14</x:f>
        <x:v>5.6</x:v>
      </x:c>
      <x:c r="M7" s="14">
        <x:f>IF(OR($A7&lt;&gt;"Y",$K7&lt;=0,$L7&lt;=0),"",Module_Setup!$D$7*$K7/$L7)</x:f>
      </x:c>
      <x:c r="N7" s="23" t="n"/>
      <x:c r="O7" s="14">
        <x:f>IF($N7="",$M7,$N7)</x:f>
      </x:c>
      <x:c r="P7" s="15">
        <x:f>IF($A7&lt;&gt;"Y","",IF($N7&lt;&gt;"","Override used",""))</x:f>
      </x:c>
      <x:c r="Q7" s="10" t="n"/>
    </x:row>
    <x:row r="8" ht="22" customHeight="1">
      <x:c r="A8" s="10" t="inlineStr">
        <x:is>
          <x:t xml:space="preserve">N</x:t>
        </x:is>
      </x:c>
      <x:c r="B8" s="10" t="inlineStr">
        <x:is>
          <x:t xml:space="preserve">Module 1</x:t>
        </x:is>
      </x:c>
      <x:c r="C8" s="10" t="inlineStr">
        <x:is>
          <x:t xml:space="preserve"/>
        </x:is>
      </x:c>
      <x:c r="D8" s="10" t="inlineStr">
        <x:is>
          <x:t xml:space="preserve"/>
        </x:is>
      </x:c>
      <x:c r="E8" s="10" t="inlineStr">
        <x:is>
          <x:t xml:space="preserve">Secondary</x:t>
        </x:is>
      </x:c>
      <x:c r="F8" s="23" t="n"/>
      <x:c r="G8" s="23" t="n"/>
      <x:c r="H8" s="23" t="n"/>
      <x:c r="I8" s="23" t="n"/>
      <x:c r="J8" s="23" t="n"/>
      <x:c r="K8" s="14">
        <x:f>IF(AND($A8="Y",$C8&lt;&gt;""),0.35*$F8+0.25*$G8+0.20*$H8+0.10*$I8+0.10*$J8,"")</x:f>
      </x:c>
      <x:c r="L8" s="14">
        <x:f>Module_Setup!$D$14</x:f>
        <x:v>5.6</x:v>
      </x:c>
      <x:c r="M8" s="14">
        <x:f>IF(OR($A8&lt;&gt;"Y",$K8&lt;=0,$L8&lt;=0),"",Module_Setup!$D$7*$K8/$L8)</x:f>
      </x:c>
      <x:c r="N8" s="23" t="n"/>
      <x:c r="O8" s="14">
        <x:f>IF($N8="",$M8,$N8)</x:f>
      </x:c>
      <x:c r="P8" s="15">
        <x:f>IF($A8&lt;&gt;"Y","",IF($N8&lt;&gt;"","Override used",""))</x:f>
      </x:c>
      <x:c r="Q8" s="10" t="n"/>
    </x:row>
    <x:row r="9" ht="22" customHeight="1">
      <x:c r="A9" s="10" t="inlineStr">
        <x:is>
          <x:t xml:space="preserve">N</x:t>
        </x:is>
      </x:c>
      <x:c r="B9" s="10" t="inlineStr">
        <x:is>
          <x:t xml:space="preserve">Module 1</x:t>
        </x:is>
      </x:c>
      <x:c r="C9" s="10" t="inlineStr">
        <x:is>
          <x:t xml:space="preserve"/>
        </x:is>
      </x:c>
      <x:c r="D9" s="10" t="inlineStr">
        <x:is>
          <x:t xml:space="preserve"/>
        </x:is>
      </x:c>
      <x:c r="E9" s="10" t="inlineStr">
        <x:is>
          <x:t xml:space="preserve">Secondary</x:t>
        </x:is>
      </x:c>
      <x:c r="F9" s="23" t="n"/>
      <x:c r="G9" s="23" t="n"/>
      <x:c r="H9" s="23" t="n"/>
      <x:c r="I9" s="23" t="n"/>
      <x:c r="J9" s="23" t="n"/>
      <x:c r="K9" s="14">
        <x:f>IF(AND($A9="Y",$C9&lt;&gt;""),0.35*$F9+0.25*$G9+0.20*$H9+0.10*$I9+0.10*$J9,"")</x:f>
      </x:c>
      <x:c r="L9" s="14">
        <x:f>Module_Setup!$D$14</x:f>
        <x:v>5.6</x:v>
      </x:c>
      <x:c r="M9" s="14">
        <x:f>IF(OR($A9&lt;&gt;"Y",$K9&lt;=0,$L9&lt;=0),"",Module_Setup!$D$7*$K9/$L9)</x:f>
      </x:c>
      <x:c r="N9" s="23" t="n"/>
      <x:c r="O9" s="14">
        <x:f>IF($N9="",$M9,$N9)</x:f>
      </x:c>
      <x:c r="P9" s="15">
        <x:f>IF($A9&lt;&gt;"Y","",IF($N9&lt;&gt;"","Override used",""))</x:f>
      </x:c>
      <x:c r="Q9" s="10" t="n"/>
    </x:row>
    <x:row r="10" ht="22" customHeight="1">
      <x:c r="A10" s="10" t="inlineStr">
        <x:is>
          <x:t xml:space="preserve">N</x:t>
        </x:is>
      </x:c>
      <x:c r="B10" s="10" t="inlineStr">
        <x:is>
          <x:t xml:space="preserve">Module 1</x:t>
        </x:is>
      </x:c>
      <x:c r="C10" s="10" t="inlineStr">
        <x:is>
          <x:t xml:space="preserve"/>
        </x:is>
      </x:c>
      <x:c r="D10" s="10" t="inlineStr">
        <x:is>
          <x:t xml:space="preserve"/>
        </x:is>
      </x:c>
      <x:c r="E10" s="10" t="inlineStr">
        <x:is>
          <x:t xml:space="preserve">Secondary</x:t>
        </x:is>
      </x:c>
      <x:c r="F10" s="23" t="n"/>
      <x:c r="G10" s="23" t="n"/>
      <x:c r="H10" s="23" t="n"/>
      <x:c r="I10" s="23" t="n"/>
      <x:c r="J10" s="23" t="n"/>
      <x:c r="K10" s="14">
        <x:f>IF(AND($A10="Y",$C10&lt;&gt;""),0.35*$F10+0.25*$G10+0.20*$H10+0.10*$I10+0.10*$J10,"")</x:f>
      </x:c>
      <x:c r="L10" s="14">
        <x:f>Module_Setup!$D$14</x:f>
        <x:v>5.6</x:v>
      </x:c>
      <x:c r="M10" s="14">
        <x:f>IF(OR($A10&lt;&gt;"Y",$K10&lt;=0,$L10&lt;=0),"",Module_Setup!$D$7*$K10/$L10)</x:f>
      </x:c>
      <x:c r="N10" s="23" t="n"/>
      <x:c r="O10" s="14">
        <x:f>IF($N10="",$M10,$N10)</x:f>
      </x:c>
      <x:c r="P10" s="15">
        <x:f>IF($A10&lt;&gt;"Y","",IF($N10&lt;&gt;"","Override used",""))</x:f>
      </x:c>
      <x:c r="Q10" s="10" t="n"/>
    </x:row>
    <x:row r="11" ht="26" customHeight="1">
      <x:c r="A11" s="19" t="inlineStr">
        <x:is>
          <x:t xml:space="preserve">Y</x:t>
        </x:is>
      </x:c>
      <x:c r="B11" s="19" t="inlineStr">
        <x:is>
          <x:t xml:space="preserve">Module 2</x:t>
        </x:is>
      </x:c>
      <x:c r="C11" s="19" t="inlineStr">
        <x:is>
          <x:t xml:space="preserve">B</x:t>
        </x:is>
      </x:c>
      <x:c r="D11" s="19" t="inlineStr">
        <x:is>
          <x:t xml:space="preserve">Transaction / formation characterization</x:t>
        </x:is>
      </x:c>
      <x:c r="E11" s="19" t="inlineStr">
        <x:is>
          <x:t xml:space="preserve">Secondary</x:t>
        </x:is>
      </x:c>
      <x:c r="F11" s="20" t="n">
        <x:v>2.2</x:v>
      </x:c>
      <x:c r="G11" s="20" t="n">
        <x:v>2.2</x:v>
      </x:c>
      <x:c r="H11" s="20" t="n">
        <x:v>2.2</x:v>
      </x:c>
      <x:c r="I11" s="20" t="n">
        <x:v>2.2</x:v>
      </x:c>
      <x:c r="J11" s="20" t="n">
        <x:v>2.2</x:v>
      </x:c>
      <x:c r="K11" s="21">
        <x:f>IF(AND($A11="Y",$C11&lt;&gt;""),0.35*$F11+0.25*$G11+0.20*$H11+0.10*$I11+0.10*$J11,"")</x:f>
        <x:v>2.2</x:v>
      </x:c>
      <x:c r="L11" s="21">
        <x:f>Module_Setup!$D$15</x:f>
        <x:v>8</x:v>
      </x:c>
      <x:c r="M11" s="21">
        <x:f>IF(OR($A11&lt;&gt;"Y",$K11&lt;=0,$L11&lt;=0),"",Module_Setup!$D$8*$K11/$L11)</x:f>
        <x:v>11</x:v>
      </x:c>
      <x:c r="N11" s="20" t="n"/>
      <x:c r="O11" s="21">
        <x:f>IF($N11="",$M11,$N11)</x:f>
        <x:v>11</x:v>
      </x:c>
      <x:c r="P11" s="22">
        <x:f>IF($A11&lt;&gt;"Y","",IF($N11&lt;&gt;"","Override used",""))</x:f>
      </x:c>
      <x:c r="Q11" s="19" t="n"/>
    </x:row>
    <x:row r="12" ht="22" customHeight="1">
      <x:c r="A12" s="10" t="inlineStr">
        <x:is>
          <x:t xml:space="preserve">Y</x:t>
        </x:is>
      </x:c>
      <x:c r="B12" s="10" t="inlineStr">
        <x:is>
          <x:t xml:space="preserve">Module 2</x:t>
        </x:is>
      </x:c>
      <x:c r="C12" s="10" t="inlineStr">
        <x:is>
          <x:t xml:space="preserve">C</x:t>
        </x:is>
      </x:c>
      <x:c r="D12" s="10" t="inlineStr">
        <x:is>
          <x:t xml:space="preserve">Controlling doctrine gate identification + correct trigger</x:t>
        </x:is>
      </x:c>
      <x:c r="E12" s="10" t="inlineStr">
        <x:is>
          <x:t xml:space="preserve">Controlling</x:t>
        </x:is>
      </x:c>
      <x:c r="F12" s="23" t="n">
        <x:v>3</x:v>
      </x:c>
      <x:c r="G12" s="23" t="n">
        <x:v>3</x:v>
      </x:c>
      <x:c r="H12" s="23" t="n">
        <x:v>3</x:v>
      </x:c>
      <x:c r="I12" s="23" t="n">
        <x:v>3</x:v>
      </x:c>
      <x:c r="J12" s="23" t="n">
        <x:v>3</x:v>
      </x:c>
      <x:c r="K12" s="14">
        <x:f>IF(AND($A12="Y",$C12&lt;&gt;""),0.35*$F12+0.25*$G12+0.20*$H12+0.10*$I12+0.10*$J12,"")</x:f>
        <x:v>3</x:v>
      </x:c>
      <x:c r="L12" s="14">
        <x:f>Module_Setup!$D$15</x:f>
        <x:v>8</x:v>
      </x:c>
      <x:c r="M12" s="14">
        <x:f>IF(OR($A12&lt;&gt;"Y",$K12&lt;=0,$L12&lt;=0),"",Module_Setup!$D$8*$K12/$L12)</x:f>
        <x:v>15</x:v>
      </x:c>
      <x:c r="N12" s="23" t="n"/>
      <x:c r="O12" s="14">
        <x:f>IF($N12="",$M12,$N12)</x:f>
        <x:v>15</x:v>
      </x:c>
      <x:c r="P12" s="15">
        <x:f>IF($A12&lt;&gt;"Y","",IF($N12&lt;&gt;"","Override used",""))</x:f>
      </x:c>
      <x:c r="Q12" s="10" t="n"/>
    </x:row>
    <x:row r="13" ht="22" customHeight="1">
      <x:c r="A13" s="10" t="inlineStr">
        <x:is>
          <x:t xml:space="preserve">Y</x:t>
        </x:is>
      </x:c>
      <x:c r="B13" s="10" t="inlineStr">
        <x:is>
          <x:t xml:space="preserve">Module 2</x:t>
        </x:is>
      </x:c>
      <x:c r="C13" s="10" t="inlineStr">
        <x:is>
          <x:t xml:space="preserve">D</x:t>
        </x:is>
      </x:c>
      <x:c r="D13" s="10" t="inlineStr">
        <x:is>
          <x:t xml:space="preserve">Secondary gate or major subissue #1</x:t>
        </x:is>
      </x:c>
      <x:c r="E13" s="10" t="inlineStr">
        <x:is>
          <x:t xml:space="preserve">Secondary</x:t>
        </x:is>
      </x:c>
      <x:c r="F13" s="23" t="n">
        <x:v>1</x:v>
      </x:c>
      <x:c r="G13" s="23" t="n">
        <x:v>1</x:v>
      </x:c>
      <x:c r="H13" s="23" t="n">
        <x:v>1</x:v>
      </x:c>
      <x:c r="I13" s="23" t="n">
        <x:v>1</x:v>
      </x:c>
      <x:c r="J13" s="23" t="n">
        <x:v>1</x:v>
      </x:c>
      <x:c r="K13" s="14">
        <x:f>IF(AND($A13="Y",$C13&lt;&gt;""),0.35*$F13+0.25*$G13+0.20*$H13+0.10*$I13+0.10*$J13,"")</x:f>
        <x:v>1</x:v>
      </x:c>
      <x:c r="L13" s="14">
        <x:f>Module_Setup!$D$15</x:f>
        <x:v>8</x:v>
      </x:c>
      <x:c r="M13" s="14">
        <x:f>IF(OR($A13&lt;&gt;"Y",$K13&lt;=0,$L13&lt;=0),"",Module_Setup!$D$8*$K13/$L13)</x:f>
        <x:v>5</x:v>
      </x:c>
      <x:c r="N13" s="23" t="n"/>
      <x:c r="O13" s="14">
        <x:f>IF($N13="",$M13,$N13)</x:f>
        <x:v>5</x:v>
      </x:c>
      <x:c r="P13" s="15">
        <x:f>IF($A13&lt;&gt;"Y","",IF($N13&lt;&gt;"","Override used",""))</x:f>
      </x:c>
      <x:c r="Q13" s="10" t="n"/>
    </x:row>
    <x:row r="14" ht="22" customHeight="1">
      <x:c r="A14" s="10" t="inlineStr">
        <x:is>
          <x:t xml:space="preserve">Y</x:t>
        </x:is>
      </x:c>
      <x:c r="B14" s="10" t="inlineStr">
        <x:is>
          <x:t xml:space="preserve">Module 2</x:t>
        </x:is>
      </x:c>
      <x:c r="C14" s="10" t="inlineStr">
        <x:is>
          <x:t xml:space="preserve">E</x:t>
        </x:is>
      </x:c>
      <x:c r="D14" s="10" t="inlineStr">
        <x:is>
          <x:t xml:space="preserve">Secondary gate or major subissue #2 / doctrinal nuance</x:t>
        </x:is>
      </x:c>
      <x:c r="E14" s="10" t="inlineStr">
        <x:is>
          <x:t xml:space="preserve">Secondary</x:t>
        </x:is>
      </x:c>
      <x:c r="F14" s="23" t="n">
        <x:v>1.8</x:v>
      </x:c>
      <x:c r="G14" s="23" t="n">
        <x:v>1.8</x:v>
      </x:c>
      <x:c r="H14" s="23" t="n">
        <x:v>1.8</x:v>
      </x:c>
      <x:c r="I14" s="23" t="n">
        <x:v>1.8</x:v>
      </x:c>
      <x:c r="J14" s="23" t="n">
        <x:v>1.8</x:v>
      </x:c>
      <x:c r="K14" s="14">
        <x:f>IF(AND($A14="Y",$C14&lt;&gt;""),0.35*$F14+0.25*$G14+0.20*$H14+0.10*$I14+0.10*$J14,"")</x:f>
        <x:v>1.8</x:v>
      </x:c>
      <x:c r="L14" s="14">
        <x:f>Module_Setup!$D$15</x:f>
        <x:v>8</x:v>
      </x:c>
      <x:c r="M14" s="14">
        <x:f>IF(OR($A14&lt;&gt;"Y",$K14&lt;=0,$L14&lt;=0),"",Module_Setup!$D$8*$K14/$L14)</x:f>
        <x:v>9</x:v>
      </x:c>
      <x:c r="N14" s="23" t="n"/>
      <x:c r="O14" s="14">
        <x:f>IF($N14="",$M14,$N14)</x:f>
        <x:v>9</x:v>
      </x:c>
      <x:c r="P14" s="15">
        <x:f>IF($A14&lt;&gt;"Y","",IF($N14&lt;&gt;"","Override used",""))</x:f>
      </x:c>
      <x:c r="Q14" s="10" t="n"/>
    </x:row>
    <x:row r="15" ht="22" customHeight="1">
      <x:c r="A15" s="10" t="inlineStr">
        <x:is>
          <x:t xml:space="preserve">N</x:t>
        </x:is>
      </x:c>
      <x:c r="B15" s="10" t="inlineStr">
        <x:is>
          <x:t xml:space="preserve">Module 2</x:t>
        </x:is>
      </x:c>
      <x:c r="C15" s="10" t="inlineStr">
        <x:is>
          <x:t xml:space="preserve"/>
        </x:is>
      </x:c>
      <x:c r="D15" s="10" t="inlineStr">
        <x:is>
          <x:t xml:space="preserve"/>
        </x:is>
      </x:c>
      <x:c r="E15" s="10" t="inlineStr">
        <x:is>
          <x:t xml:space="preserve">Secondary</x:t>
        </x:is>
      </x:c>
      <x:c r="F15" s="23" t="n"/>
      <x:c r="G15" s="23" t="n"/>
      <x:c r="H15" s="23" t="n"/>
      <x:c r="I15" s="23" t="n"/>
      <x:c r="J15" s="23" t="n"/>
      <x:c r="K15" s="14">
        <x:f>IF(AND($A15="Y",$C15&lt;&gt;""),0.35*$F15+0.25*$G15+0.20*$H15+0.10*$I15+0.10*$J15,"")</x:f>
      </x:c>
      <x:c r="L15" s="14">
        <x:f>Module_Setup!$D$15</x:f>
        <x:v>8</x:v>
      </x:c>
      <x:c r="M15" s="14">
        <x:f>IF(OR($A15&lt;&gt;"Y",$K15&lt;=0,$L15&lt;=0),"",Module_Setup!$D$8*$K15/$L15)</x:f>
      </x:c>
      <x:c r="N15" s="23" t="n"/>
      <x:c r="O15" s="14">
        <x:f>IF($N15="",$M15,$N15)</x:f>
      </x:c>
      <x:c r="P15" s="15">
        <x:f>IF($A15&lt;&gt;"Y","",IF($N15&lt;&gt;"","Override used",""))</x:f>
      </x:c>
      <x:c r="Q15" s="10" t="n"/>
    </x:row>
    <x:row r="16" ht="22" customHeight="1">
      <x:c r="A16" s="10" t="inlineStr">
        <x:is>
          <x:t xml:space="preserve">N</x:t>
        </x:is>
      </x:c>
      <x:c r="B16" s="10" t="inlineStr">
        <x:is>
          <x:t xml:space="preserve">Module 2</x:t>
        </x:is>
      </x:c>
      <x:c r="C16" s="10" t="inlineStr">
        <x:is>
          <x:t xml:space="preserve"/>
        </x:is>
      </x:c>
      <x:c r="D16" s="10" t="inlineStr">
        <x:is>
          <x:t xml:space="preserve"/>
        </x:is>
      </x:c>
      <x:c r="E16" s="10" t="inlineStr">
        <x:is>
          <x:t xml:space="preserve">Secondary</x:t>
        </x:is>
      </x:c>
      <x:c r="F16" s="23" t="n"/>
      <x:c r="G16" s="23" t="n"/>
      <x:c r="H16" s="23" t="n"/>
      <x:c r="I16" s="23" t="n"/>
      <x:c r="J16" s="23" t="n"/>
      <x:c r="K16" s="14">
        <x:f>IF(AND($A16="Y",$C16&lt;&gt;""),0.35*$F16+0.25*$G16+0.20*$H16+0.10*$I16+0.10*$J16,"")</x:f>
      </x:c>
      <x:c r="L16" s="14">
        <x:f>Module_Setup!$D$15</x:f>
        <x:v>8</x:v>
      </x:c>
      <x:c r="M16" s="14">
        <x:f>IF(OR($A16&lt;&gt;"Y",$K16&lt;=0,$L16&lt;=0),"",Module_Setup!$D$8*$K16/$L16)</x:f>
      </x:c>
      <x:c r="N16" s="23" t="n"/>
      <x:c r="O16" s="14">
        <x:f>IF($N16="",$M16,$N16)</x:f>
      </x:c>
      <x:c r="P16" s="15">
        <x:f>IF($A16&lt;&gt;"Y","",IF($N16&lt;&gt;"","Override used",""))</x:f>
      </x:c>
      <x:c r="Q16" s="10" t="n"/>
    </x:row>
    <x:row r="17" ht="22" customHeight="1">
      <x:c r="A17" s="10" t="inlineStr">
        <x:is>
          <x:t xml:space="preserve">N</x:t>
        </x:is>
      </x:c>
      <x:c r="B17" s="10" t="inlineStr">
        <x:is>
          <x:t xml:space="preserve">Module 2</x:t>
        </x:is>
      </x:c>
      <x:c r="C17" s="10" t="inlineStr">
        <x:is>
          <x:t xml:space="preserve"/>
        </x:is>
      </x:c>
      <x:c r="D17" s="10" t="inlineStr">
        <x:is>
          <x:t xml:space="preserve"/>
        </x:is>
      </x:c>
      <x:c r="E17" s="10" t="inlineStr">
        <x:is>
          <x:t xml:space="preserve">Secondary</x:t>
        </x:is>
      </x:c>
      <x:c r="F17" s="23" t="n"/>
      <x:c r="G17" s="23" t="n"/>
      <x:c r="H17" s="23" t="n"/>
      <x:c r="I17" s="23" t="n"/>
      <x:c r="J17" s="23" t="n"/>
      <x:c r="K17" s="14">
        <x:f>IF(AND($A17="Y",$C17&lt;&gt;""),0.35*$F17+0.25*$G17+0.20*$H17+0.10*$I17+0.10*$J17,"")</x:f>
      </x:c>
      <x:c r="L17" s="14">
        <x:f>Module_Setup!$D$15</x:f>
        <x:v>8</x:v>
      </x:c>
      <x:c r="M17" s="14">
        <x:f>IF(OR($A17&lt;&gt;"Y",$K17&lt;=0,$L17&lt;=0),"",Module_Setup!$D$8*$K17/$L17)</x:f>
      </x:c>
      <x:c r="N17" s="23" t="n"/>
      <x:c r="O17" s="14">
        <x:f>IF($N17="",$M17,$N17)</x:f>
      </x:c>
      <x:c r="P17" s="15">
        <x:f>IF($A17&lt;&gt;"Y","",IF($N17&lt;&gt;"","Override used",""))</x:f>
      </x:c>
      <x:c r="Q17" s="10" t="n"/>
    </x:row>
    <x:row r="18" ht="22" customHeight="1">
      <x:c r="A18" s="10" t="inlineStr">
        <x:is>
          <x:t xml:space="preserve">N</x:t>
        </x:is>
      </x:c>
      <x:c r="B18" s="10" t="inlineStr">
        <x:is>
          <x:t xml:space="preserve">Module 2</x:t>
        </x:is>
      </x:c>
      <x:c r="C18" s="10" t="inlineStr">
        <x:is>
          <x:t xml:space="preserve"/>
        </x:is>
      </x:c>
      <x:c r="D18" s="10" t="inlineStr">
        <x:is>
          <x:t xml:space="preserve"/>
        </x:is>
      </x:c>
      <x:c r="E18" s="10" t="inlineStr">
        <x:is>
          <x:t xml:space="preserve">Secondary</x:t>
        </x:is>
      </x:c>
      <x:c r="F18" s="23" t="n"/>
      <x:c r="G18" s="23" t="n"/>
      <x:c r="H18" s="23" t="n"/>
      <x:c r="I18" s="23" t="n"/>
      <x:c r="J18" s="23" t="n"/>
      <x:c r="K18" s="14">
        <x:f>IF(AND($A18="Y",$C18&lt;&gt;""),0.35*$F18+0.25*$G18+0.20*$H18+0.10*$I18+0.10*$J18,"")</x:f>
      </x:c>
      <x:c r="L18" s="14">
        <x:f>Module_Setup!$D$15</x:f>
        <x:v>8</x:v>
      </x:c>
      <x:c r="M18" s="14">
        <x:f>IF(OR($A18&lt;&gt;"Y",$K18&lt;=0,$L18&lt;=0),"",Module_Setup!$D$8*$K18/$L18)</x:f>
      </x:c>
      <x:c r="N18" s="23" t="n"/>
      <x:c r="O18" s="14">
        <x:f>IF($N18="",$M18,$N18)</x:f>
      </x:c>
      <x:c r="P18" s="15">
        <x:f>IF($A18&lt;&gt;"Y","",IF($N18&lt;&gt;"","Override used",""))</x:f>
      </x:c>
      <x:c r="Q18" s="10" t="n"/>
    </x:row>
    <x:row r="19" ht="22" customHeight="1">
      <x:c r="A19" s="10" t="inlineStr">
        <x:is>
          <x:t xml:space="preserve">N</x:t>
        </x:is>
      </x:c>
      <x:c r="B19" s="10" t="inlineStr">
        <x:is>
          <x:t xml:space="preserve">Module 2</x:t>
        </x:is>
      </x:c>
      <x:c r="C19" s="10" t="inlineStr">
        <x:is>
          <x:t xml:space="preserve"/>
        </x:is>
      </x:c>
      <x:c r="D19" s="10" t="inlineStr">
        <x:is>
          <x:t xml:space="preserve"/>
        </x:is>
      </x:c>
      <x:c r="E19" s="10" t="inlineStr">
        <x:is>
          <x:t xml:space="preserve">Secondary</x:t>
        </x:is>
      </x:c>
      <x:c r="F19" s="23" t="n"/>
      <x:c r="G19" s="23" t="n"/>
      <x:c r="H19" s="23" t="n"/>
      <x:c r="I19" s="23" t="n"/>
      <x:c r="J19" s="23" t="n"/>
      <x:c r="K19" s="14">
        <x:f>IF(AND($A19="Y",$C19&lt;&gt;""),0.35*$F19+0.25*$G19+0.20*$H19+0.10*$I19+0.10*$J19,"")</x:f>
      </x:c>
      <x:c r="L19" s="14">
        <x:f>Module_Setup!$D$15</x:f>
        <x:v>8</x:v>
      </x:c>
      <x:c r="M19" s="14">
        <x:f>IF(OR($A19&lt;&gt;"Y",$K19&lt;=0,$L19&lt;=0),"",Module_Setup!$D$8*$K19/$L19)</x:f>
      </x:c>
      <x:c r="N19" s="23" t="n"/>
      <x:c r="O19" s="14">
        <x:f>IF($N19="",$M19,$N19)</x:f>
      </x:c>
      <x:c r="P19" s="15">
        <x:f>IF($A19&lt;&gt;"Y","",IF($N19&lt;&gt;"","Override used",""))</x:f>
      </x:c>
      <x:c r="Q19" s="10" t="n"/>
    </x:row>
    <x:row r="20" ht="22" customHeight="1">
      <x:c r="A20" s="10" t="inlineStr">
        <x:is>
          <x:t xml:space="preserve">N</x:t>
        </x:is>
      </x:c>
      <x:c r="B20" s="10" t="inlineStr">
        <x:is>
          <x:t xml:space="preserve">Module 2</x:t>
        </x:is>
      </x:c>
      <x:c r="C20" s="10" t="inlineStr">
        <x:is>
          <x:t xml:space="preserve"/>
        </x:is>
      </x:c>
      <x:c r="D20" s="10" t="inlineStr">
        <x:is>
          <x:t xml:space="preserve"/>
        </x:is>
      </x:c>
      <x:c r="E20" s="10" t="inlineStr">
        <x:is>
          <x:t xml:space="preserve">Secondary</x:t>
        </x:is>
      </x:c>
      <x:c r="F20" s="23" t="n"/>
      <x:c r="G20" s="23" t="n"/>
      <x:c r="H20" s="23" t="n"/>
      <x:c r="I20" s="23" t="n"/>
      <x:c r="J20" s="23" t="n"/>
      <x:c r="K20" s="14">
        <x:f>IF(AND($A20="Y",$C20&lt;&gt;""),0.35*$F20+0.25*$G20+0.20*$H20+0.10*$I20+0.10*$J20,"")</x:f>
      </x:c>
      <x:c r="L20" s="14">
        <x:f>Module_Setup!$D$15</x:f>
        <x:v>8</x:v>
      </x:c>
      <x:c r="M20" s="14">
        <x:f>IF(OR($A20&lt;&gt;"Y",$K20&lt;=0,$L20&lt;=0),"",Module_Setup!$D$8*$K20/$L20)</x:f>
      </x:c>
      <x:c r="N20" s="23" t="n"/>
      <x:c r="O20" s="14">
        <x:f>IF($N20="",$M20,$N20)</x:f>
      </x:c>
      <x:c r="P20" s="15">
        <x:f>IF($A20&lt;&gt;"Y","",IF($N20&lt;&gt;"","Override used",""))</x:f>
      </x:c>
      <x:c r="Q20" s="10" t="n"/>
    </x:row>
    <x:row r="21" ht="22" customHeight="1">
      <x:c r="A21" s="10" t="inlineStr">
        <x:is>
          <x:t xml:space="preserve">N</x:t>
        </x:is>
      </x:c>
      <x:c r="B21" s="10" t="inlineStr">
        <x:is>
          <x:t xml:space="preserve">Module 2</x:t>
        </x:is>
      </x:c>
      <x:c r="C21" s="10" t="inlineStr">
        <x:is>
          <x:t xml:space="preserve"/>
        </x:is>
      </x:c>
      <x:c r="D21" s="10" t="inlineStr">
        <x:is>
          <x:t xml:space="preserve"/>
        </x:is>
      </x:c>
      <x:c r="E21" s="10" t="inlineStr">
        <x:is>
          <x:t xml:space="preserve">Secondary</x:t>
        </x:is>
      </x:c>
      <x:c r="F21" s="23" t="n"/>
      <x:c r="G21" s="23" t="n"/>
      <x:c r="H21" s="23" t="n"/>
      <x:c r="I21" s="23" t="n"/>
      <x:c r="J21" s="23" t="n"/>
      <x:c r="K21" s="14">
        <x:f>IF(AND($A21="Y",$C21&lt;&gt;""),0.35*$F21+0.25*$G21+0.20*$H21+0.10*$I21+0.10*$J21,"")</x:f>
      </x:c>
      <x:c r="L21" s="14">
        <x:f>Module_Setup!$D$15</x:f>
        <x:v>8</x:v>
      </x:c>
      <x:c r="M21" s="14">
        <x:f>IF(OR($A21&lt;&gt;"Y",$K21&lt;=0,$L21&lt;=0),"",Module_Setup!$D$8*$K21/$L21)</x:f>
      </x:c>
      <x:c r="N21" s="23" t="n"/>
      <x:c r="O21" s="14">
        <x:f>IF($N21="",$M21,$N21)</x:f>
      </x:c>
      <x:c r="P21" s="15">
        <x:f>IF($A21&lt;&gt;"Y","",IF($N21&lt;&gt;"","Override used",""))</x:f>
      </x:c>
      <x:c r="Q21" s="10" t="n"/>
    </x:row>
    <x:row r="22" ht="26" customHeight="1">
      <x:c r="A22" s="19" t="inlineStr">
        <x:is>
          <x:t xml:space="preserve">Y</x:t>
        </x:is>
      </x:c>
      <x:c r="B22" s="19" t="inlineStr">
        <x:is>
          <x:t xml:space="preserve">Module 3</x:t>
        </x:is>
      </x:c>
      <x:c r="C22" s="19" t="inlineStr">
        <x:is>
          <x:t xml:space="preserve">F</x:t>
        </x:is>
      </x:c>
      <x:c r="D22" s="19" t="inlineStr">
        <x:is>
          <x:t xml:space="preserve">Exceptions / workarounds + limits</x:t>
        </x:is>
      </x:c>
      <x:c r="E22" s="19" t="inlineStr">
        <x:is>
          <x:t xml:space="preserve">Fallback</x:t>
        </x:is>
      </x:c>
      <x:c r="F22" s="20" t="n">
        <x:v>1.4</x:v>
      </x:c>
      <x:c r="G22" s="20" t="n">
        <x:v>1.4</x:v>
      </x:c>
      <x:c r="H22" s="20" t="n">
        <x:v>1.4</x:v>
      </x:c>
      <x:c r="I22" s="20" t="n">
        <x:v>1.4</x:v>
      </x:c>
      <x:c r="J22" s="20" t="n">
        <x:v>1.4</x:v>
      </x:c>
      <x:c r="K22" s="21">
        <x:f>IF(AND($A22="Y",$C22&lt;&gt;""),0.35*$F22+0.25*$G22+0.20*$H22+0.10*$I22+0.10*$J22,"")</x:f>
        <x:v>1.3999999999999997</x:v>
      </x:c>
      <x:c r="L22" s="21">
        <x:f>Module_Setup!$D$16</x:f>
        <x:v>3.7999999999999994</x:v>
      </x:c>
      <x:c r="M22" s="21">
        <x:f>IF(OR($A22&lt;&gt;"Y",$K22&lt;=0,$L22&lt;=0),"",Module_Setup!$D$9*$K22/$L22)</x:f>
        <x:v>7</x:v>
      </x:c>
      <x:c r="N22" s="20" t="n"/>
      <x:c r="O22" s="21">
        <x:f>IF($N22="",$M22,$N22)</x:f>
        <x:v>7</x:v>
      </x:c>
      <x:c r="P22" s="22">
        <x:f>IF($A22&lt;&gt;"Y","",IF($N22&lt;&gt;"","Override used",""))</x:f>
      </x:c>
      <x:c r="Q22" s="19" t="n"/>
    </x:row>
    <x:row r="23" ht="22" customHeight="1">
      <x:c r="A23" s="10" t="inlineStr">
        <x:is>
          <x:t xml:space="preserve">Y</x:t>
        </x:is>
      </x:c>
      <x:c r="B23" s="10" t="inlineStr">
        <x:is>
          <x:t xml:space="preserve">Module 3</x:t>
        </x:is>
      </x:c>
      <x:c r="C23" s="10" t="inlineStr">
        <x:is>
          <x:t xml:space="preserve">G</x:t>
        </x:is>
      </x:c>
      <x:c r="D23" s="10" t="inlineStr">
        <x:is>
          <x:t xml:space="preserve">Reliance / estoppel / causation rigor</x:t>
        </x:is>
      </x:c>
      <x:c r="E23" s="10" t="inlineStr">
        <x:is>
          <x:t xml:space="preserve">Fallback</x:t>
        </x:is>
      </x:c>
      <x:c r="F23" s="23" t="n">
        <x:v>1.4</x:v>
      </x:c>
      <x:c r="G23" s="23" t="n">
        <x:v>1.4</x:v>
      </x:c>
      <x:c r="H23" s="23" t="n">
        <x:v>1.4</x:v>
      </x:c>
      <x:c r="I23" s="23" t="n">
        <x:v>1.4</x:v>
      </x:c>
      <x:c r="J23" s="23" t="n">
        <x:v>1.4</x:v>
      </x:c>
      <x:c r="K23" s="14">
        <x:f>IF(AND($A23="Y",$C23&lt;&gt;""),0.35*$F23+0.25*$G23+0.20*$H23+0.10*$I23+0.10*$J23,"")</x:f>
        <x:v>1.3999999999999997</x:v>
      </x:c>
      <x:c r="L23" s="14">
        <x:f>Module_Setup!$D$16</x:f>
        <x:v>3.7999999999999994</x:v>
      </x:c>
      <x:c r="M23" s="14">
        <x:f>IF(OR($A23&lt;&gt;"Y",$K23&lt;=0,$L23&lt;=0),"",Module_Setup!$D$9*$K23/$L23)</x:f>
        <x:v>7</x:v>
      </x:c>
      <x:c r="N23" s="23" t="n"/>
      <x:c r="O23" s="14">
        <x:f>IF($N23="",$M23,$N23)</x:f>
        <x:v>7</x:v>
      </x:c>
      <x:c r="P23" s="15">
        <x:f>IF($A23&lt;&gt;"Y","",IF($N23&lt;&gt;"","Override used",""))</x:f>
      </x:c>
      <x:c r="Q23" s="10" t="n"/>
    </x:row>
    <x:row r="24" ht="22" customHeight="1">
      <x:c r="A24" s="10" t="inlineStr">
        <x:is>
          <x:t xml:space="preserve">Y</x:t>
        </x:is>
      </x:c>
      <x:c r="B24" s="10" t="inlineStr">
        <x:is>
          <x:t xml:space="preserve">Module 3</x:t>
        </x:is>
      </x:c>
      <x:c r="C24" s="10" t="inlineStr">
        <x:is>
          <x:t xml:space="preserve">H</x:t>
        </x:is>
      </x:c>
      <x:c r="D24" s="10" t="inlineStr">
        <x:is>
          <x:t xml:space="preserve">Defenses / conditions / competing doctrines</x:t>
        </x:is>
      </x:c>
      <x:c r="E24" s="10" t="inlineStr">
        <x:is>
          <x:t xml:space="preserve">Fallback</x:t>
        </x:is>
      </x:c>
      <x:c r="F24" s="23" t="n">
        <x:v>1</x:v>
      </x:c>
      <x:c r="G24" s="23" t="n">
        <x:v>1</x:v>
      </x:c>
      <x:c r="H24" s="23" t="n">
        <x:v>1</x:v>
      </x:c>
      <x:c r="I24" s="23" t="n">
        <x:v>1</x:v>
      </x:c>
      <x:c r="J24" s="23" t="n">
        <x:v>1</x:v>
      </x:c>
      <x:c r="K24" s="14">
        <x:f>IF(AND($A24="Y",$C24&lt;&gt;""),0.35*$F24+0.25*$G24+0.20*$H24+0.10*$I24+0.10*$J24,"")</x:f>
        <x:v>1</x:v>
      </x:c>
      <x:c r="L24" s="14">
        <x:f>Module_Setup!$D$16</x:f>
        <x:v>3.7999999999999994</x:v>
      </x:c>
      <x:c r="M24" s="14">
        <x:f>IF(OR($A24&lt;&gt;"Y",$K24&lt;=0,$L24&lt;=0),"",Module_Setup!$D$9*$K24/$L24)</x:f>
        <x:v>5.000000000000001</x:v>
      </x:c>
      <x:c r="N24" s="23" t="n"/>
      <x:c r="O24" s="14">
        <x:f>IF($N24="",$M24,$N24)</x:f>
        <x:v>5.000000000000001</x:v>
      </x:c>
      <x:c r="P24" s="15">
        <x:f>IF($A24&lt;&gt;"Y","",IF($N24&lt;&gt;"","Override used",""))</x:f>
      </x:c>
      <x:c r="Q24" s="10" t="n"/>
    </x:row>
    <x:row r="25" ht="22" customHeight="1">
      <x:c r="A25" s="10" t="inlineStr">
        <x:is>
          <x:t xml:space="preserve">N</x:t>
        </x:is>
      </x:c>
      <x:c r="B25" s="10" t="inlineStr">
        <x:is>
          <x:t xml:space="preserve">Module 3</x:t>
        </x:is>
      </x:c>
      <x:c r="C25" s="10" t="inlineStr">
        <x:is>
          <x:t xml:space="preserve"/>
        </x:is>
      </x:c>
      <x:c r="D25" s="10" t="inlineStr">
        <x:is>
          <x:t xml:space="preserve"/>
        </x:is>
      </x:c>
      <x:c r="E25" s="10" t="inlineStr">
        <x:is>
          <x:t xml:space="preserve">Fallback</x:t>
        </x:is>
      </x:c>
      <x:c r="F25" s="23" t="n"/>
      <x:c r="G25" s="23" t="n"/>
      <x:c r="H25" s="23" t="n"/>
      <x:c r="I25" s="23" t="n"/>
      <x:c r="J25" s="23" t="n"/>
      <x:c r="K25" s="14">
        <x:f>IF(AND($A25="Y",$C25&lt;&gt;""),0.35*$F25+0.25*$G25+0.20*$H25+0.10*$I25+0.10*$J25,"")</x:f>
      </x:c>
      <x:c r="L25" s="14">
        <x:f>Module_Setup!$D$16</x:f>
        <x:v>3.7999999999999994</x:v>
      </x:c>
      <x:c r="M25" s="14">
        <x:f>IF(OR($A25&lt;&gt;"Y",$K25&lt;=0,$L25&lt;=0),"",Module_Setup!$D$9*$K25/$L25)</x:f>
      </x:c>
      <x:c r="N25" s="23" t="n"/>
      <x:c r="O25" s="14">
        <x:f>IF($N25="",$M25,$N25)</x:f>
      </x:c>
      <x:c r="P25" s="15">
        <x:f>IF($A25&lt;&gt;"Y","",IF($N25&lt;&gt;"","Override used",""))</x:f>
      </x:c>
      <x:c r="Q25" s="10" t="n"/>
    </x:row>
    <x:row r="26" ht="22" customHeight="1">
      <x:c r="A26" s="10" t="inlineStr">
        <x:is>
          <x:t xml:space="preserve">N</x:t>
        </x:is>
      </x:c>
      <x:c r="B26" s="10" t="inlineStr">
        <x:is>
          <x:t xml:space="preserve">Module 3</x:t>
        </x:is>
      </x:c>
      <x:c r="C26" s="10" t="inlineStr">
        <x:is>
          <x:t xml:space="preserve"/>
        </x:is>
      </x:c>
      <x:c r="D26" s="10" t="inlineStr">
        <x:is>
          <x:t xml:space="preserve"/>
        </x:is>
      </x:c>
      <x:c r="E26" s="10" t="inlineStr">
        <x:is>
          <x:t xml:space="preserve">Fallback</x:t>
        </x:is>
      </x:c>
      <x:c r="F26" s="23" t="n"/>
      <x:c r="G26" s="23" t="n"/>
      <x:c r="H26" s="23" t="n"/>
      <x:c r="I26" s="23" t="n"/>
      <x:c r="J26" s="23" t="n"/>
      <x:c r="K26" s="14">
        <x:f>IF(AND($A26="Y",$C26&lt;&gt;""),0.35*$F26+0.25*$G26+0.20*$H26+0.10*$I26+0.10*$J26,"")</x:f>
      </x:c>
      <x:c r="L26" s="14">
        <x:f>Module_Setup!$D$16</x:f>
        <x:v>3.7999999999999994</x:v>
      </x:c>
      <x:c r="M26" s="14">
        <x:f>IF(OR($A26&lt;&gt;"Y",$K26&lt;=0,$L26&lt;=0),"",Module_Setup!$D$9*$K26/$L26)</x:f>
      </x:c>
      <x:c r="N26" s="23" t="n"/>
      <x:c r="O26" s="14">
        <x:f>IF($N26="",$M26,$N26)</x:f>
      </x:c>
      <x:c r="P26" s="15">
        <x:f>IF($A26&lt;&gt;"Y","",IF($N26&lt;&gt;"","Override used",""))</x:f>
      </x:c>
      <x:c r="Q26" s="10" t="n"/>
    </x:row>
    <x:row r="27" ht="22" customHeight="1">
      <x:c r="A27" s="10" t="inlineStr">
        <x:is>
          <x:t xml:space="preserve">N</x:t>
        </x:is>
      </x:c>
      <x:c r="B27" s="10" t="inlineStr">
        <x:is>
          <x:t xml:space="preserve">Module 3</x:t>
        </x:is>
      </x:c>
      <x:c r="C27" s="10" t="inlineStr">
        <x:is>
          <x:t xml:space="preserve"/>
        </x:is>
      </x:c>
      <x:c r="D27" s="10" t="inlineStr">
        <x:is>
          <x:t xml:space="preserve"/>
        </x:is>
      </x:c>
      <x:c r="E27" s="10" t="inlineStr">
        <x:is>
          <x:t xml:space="preserve">Fallback</x:t>
        </x:is>
      </x:c>
      <x:c r="F27" s="23" t="n"/>
      <x:c r="G27" s="23" t="n"/>
      <x:c r="H27" s="23" t="n"/>
      <x:c r="I27" s="23" t="n"/>
      <x:c r="J27" s="23" t="n"/>
      <x:c r="K27" s="14">
        <x:f>IF(AND($A27="Y",$C27&lt;&gt;""),0.35*$F27+0.25*$G27+0.20*$H27+0.10*$I27+0.10*$J27,"")</x:f>
      </x:c>
      <x:c r="L27" s="14">
        <x:f>Module_Setup!$D$16</x:f>
        <x:v>3.7999999999999994</x:v>
      </x:c>
      <x:c r="M27" s="14">
        <x:f>IF(OR($A27&lt;&gt;"Y",$K27&lt;=0,$L27&lt;=0),"",Module_Setup!$D$9*$K27/$L27)</x:f>
      </x:c>
      <x:c r="N27" s="23" t="n"/>
      <x:c r="O27" s="14">
        <x:f>IF($N27="",$M27,$N27)</x:f>
      </x:c>
      <x:c r="P27" s="15">
        <x:f>IF($A27&lt;&gt;"Y","",IF($N27&lt;&gt;"","Override used",""))</x:f>
      </x:c>
      <x:c r="Q27" s="10" t="n"/>
    </x:row>
    <x:row r="28" ht="22" customHeight="1">
      <x:c r="A28" s="10" t="inlineStr">
        <x:is>
          <x:t xml:space="preserve">N</x:t>
        </x:is>
      </x:c>
      <x:c r="B28" s="10" t="inlineStr">
        <x:is>
          <x:t xml:space="preserve">Module 3</x:t>
        </x:is>
      </x:c>
      <x:c r="C28" s="10" t="inlineStr">
        <x:is>
          <x:t xml:space="preserve"/>
        </x:is>
      </x:c>
      <x:c r="D28" s="10" t="inlineStr">
        <x:is>
          <x:t xml:space="preserve"/>
        </x:is>
      </x:c>
      <x:c r="E28" s="10" t="inlineStr">
        <x:is>
          <x:t xml:space="preserve">Fallback</x:t>
        </x:is>
      </x:c>
      <x:c r="F28" s="23" t="n"/>
      <x:c r="G28" s="23" t="n"/>
      <x:c r="H28" s="23" t="n"/>
      <x:c r="I28" s="23" t="n"/>
      <x:c r="J28" s="23" t="n"/>
      <x:c r="K28" s="14">
        <x:f>IF(AND($A28="Y",$C28&lt;&gt;""),0.35*$F28+0.25*$G28+0.20*$H28+0.10*$I28+0.10*$J28,"")</x:f>
      </x:c>
      <x:c r="L28" s="14">
        <x:f>Module_Setup!$D$16</x:f>
        <x:v>3.7999999999999994</x:v>
      </x:c>
      <x:c r="M28" s="14">
        <x:f>IF(OR($A28&lt;&gt;"Y",$K28&lt;=0,$L28&lt;=0),"",Module_Setup!$D$9*$K28/$L28)</x:f>
      </x:c>
      <x:c r="N28" s="23" t="n"/>
      <x:c r="O28" s="14">
        <x:f>IF($N28="",$M28,$N28)</x:f>
      </x:c>
      <x:c r="P28" s="15">
        <x:f>IF($A28&lt;&gt;"Y","",IF($N28&lt;&gt;"","Override used",""))</x:f>
      </x:c>
      <x:c r="Q28" s="10" t="n"/>
    </x:row>
    <x:row r="29" ht="22" customHeight="1">
      <x:c r="A29" s="10" t="inlineStr">
        <x:is>
          <x:t xml:space="preserve">N</x:t>
        </x:is>
      </x:c>
      <x:c r="B29" s="10" t="inlineStr">
        <x:is>
          <x:t xml:space="preserve">Module 3</x:t>
        </x:is>
      </x:c>
      <x:c r="C29" s="10" t="inlineStr">
        <x:is>
          <x:t xml:space="preserve"/>
        </x:is>
      </x:c>
      <x:c r="D29" s="10" t="inlineStr">
        <x:is>
          <x:t xml:space="preserve"/>
        </x:is>
      </x:c>
      <x:c r="E29" s="10" t="inlineStr">
        <x:is>
          <x:t xml:space="preserve">Fallback</x:t>
        </x:is>
      </x:c>
      <x:c r="F29" s="23" t="n"/>
      <x:c r="G29" s="23" t="n"/>
      <x:c r="H29" s="23" t="n"/>
      <x:c r="I29" s="23" t="n"/>
      <x:c r="J29" s="23" t="n"/>
      <x:c r="K29" s="14">
        <x:f>IF(AND($A29="Y",$C29&lt;&gt;""),0.35*$F29+0.25*$G29+0.20*$H29+0.10*$I29+0.10*$J29,"")</x:f>
      </x:c>
      <x:c r="L29" s="14">
        <x:f>Module_Setup!$D$16</x:f>
        <x:v>3.7999999999999994</x:v>
      </x:c>
      <x:c r="M29" s="14">
        <x:f>IF(OR($A29&lt;&gt;"Y",$K29&lt;=0,$L29&lt;=0),"",Module_Setup!$D$9*$K29/$L29)</x:f>
      </x:c>
      <x:c r="N29" s="23" t="n"/>
      <x:c r="O29" s="14">
        <x:f>IF($N29="",$M29,$N29)</x:f>
      </x:c>
      <x:c r="P29" s="15">
        <x:f>IF($A29&lt;&gt;"Y","",IF($N29&lt;&gt;"","Override used",""))</x:f>
      </x:c>
      <x:c r="Q29" s="10" t="n"/>
    </x:row>
    <x:row r="30" ht="22" customHeight="1">
      <x:c r="A30" s="10" t="inlineStr">
        <x:is>
          <x:t xml:space="preserve">N</x:t>
        </x:is>
      </x:c>
      <x:c r="B30" s="10" t="inlineStr">
        <x:is>
          <x:t xml:space="preserve">Module 3</x:t>
        </x:is>
      </x:c>
      <x:c r="C30" s="10" t="inlineStr">
        <x:is>
          <x:t xml:space="preserve"/>
        </x:is>
      </x:c>
      <x:c r="D30" s="10" t="inlineStr">
        <x:is>
          <x:t xml:space="preserve"/>
        </x:is>
      </x:c>
      <x:c r="E30" s="10" t="inlineStr">
        <x:is>
          <x:t xml:space="preserve">Fallback</x:t>
        </x:is>
      </x:c>
      <x:c r="F30" s="23" t="n"/>
      <x:c r="G30" s="23" t="n"/>
      <x:c r="H30" s="23" t="n"/>
      <x:c r="I30" s="23" t="n"/>
      <x:c r="J30" s="23" t="n"/>
      <x:c r="K30" s="14">
        <x:f>IF(AND($A30="Y",$C30&lt;&gt;""),0.35*$F30+0.25*$G30+0.20*$H30+0.10*$I30+0.10*$J30,"")</x:f>
      </x:c>
      <x:c r="L30" s="14">
        <x:f>Module_Setup!$D$16</x:f>
        <x:v>3.7999999999999994</x:v>
      </x:c>
      <x:c r="M30" s="14">
        <x:f>IF(OR($A30&lt;&gt;"Y",$K30&lt;=0,$L30&lt;=0),"",Module_Setup!$D$9*$K30/$L30)</x:f>
      </x:c>
      <x:c r="N30" s="23" t="n"/>
      <x:c r="O30" s="14">
        <x:f>IF($N30="",$M30,$N30)</x:f>
      </x:c>
      <x:c r="P30" s="15">
        <x:f>IF($A30&lt;&gt;"Y","",IF($N30&lt;&gt;"","Override used",""))</x:f>
      </x:c>
      <x:c r="Q30" s="10" t="n"/>
    </x:row>
    <x:row r="31" ht="26" customHeight="1">
      <x:c r="A31" s="19" t="inlineStr">
        <x:is>
          <x:t xml:space="preserve">Y</x:t>
        </x:is>
      </x:c>
      <x:c r="B31" s="19" t="inlineStr">
        <x:is>
          <x:t xml:space="preserve">Module 4</x:t>
        </x:is>
      </x:c>
      <x:c r="C31" s="19" t="inlineStr">
        <x:is>
          <x:t xml:space="preserve">I</x:t>
        </x:is>
      </x:c>
      <x:c r="D31" s="19" t="inlineStr">
        <x:is>
          <x:t xml:space="preserve">Factual fidelity + internal consistency</x:t>
        </x:is>
      </x:c>
      <x:c r="E31" s="19" t="inlineStr">
        <x:is>
          <x:t xml:space="preserve">Cross-cutting</x:t>
        </x:is>
      </x:c>
      <x:c r="F31" s="20" t="n">
        <x:v>1.25</x:v>
      </x:c>
      <x:c r="G31" s="20" t="n">
        <x:v>1.25</x:v>
      </x:c>
      <x:c r="H31" s="20" t="n">
        <x:v>1.25</x:v>
      </x:c>
      <x:c r="I31" s="20" t="n">
        <x:v>1.25</x:v>
      </x:c>
      <x:c r="J31" s="20" t="n">
        <x:v>1.25</x:v>
      </x:c>
      <x:c r="K31" s="21">
        <x:f>IF(AND($A31="Y",$C31&lt;&gt;""),0.35*$F31+0.25*$G31+0.20*$H31+0.10*$I31+0.10*$J31,"")</x:f>
        <x:v>1.25</x:v>
      </x:c>
      <x:c r="L31" s="21">
        <x:f>Module_Setup!$D$17</x:f>
        <x:v>3.25</x:v>
      </x:c>
      <x:c r="M31" s="21">
        <x:f>IF(OR($A31&lt;&gt;"Y",$K31&lt;=0,$L31&lt;=0),"",Module_Setup!$D$10*$K31/$L31)</x:f>
        <x:v>5</x:v>
      </x:c>
      <x:c r="N31" s="20" t="n"/>
      <x:c r="O31" s="21">
        <x:f>IF($N31="",$M31,$N31)</x:f>
        <x:v>5</x:v>
      </x:c>
      <x:c r="P31" s="22">
        <x:f>IF($A31&lt;&gt;"Y","",IF($N31&lt;&gt;"","Override used",""))</x:f>
      </x:c>
      <x:c r="Q31" s="19" t="n"/>
    </x:row>
    <x:row r="32" ht="22" customHeight="1">
      <x:c r="A32" s="10" t="inlineStr">
        <x:is>
          <x:t xml:space="preserve">Y</x:t>
        </x:is>
      </x:c>
      <x:c r="B32" s="10" t="inlineStr">
        <x:is>
          <x:t xml:space="preserve">Module 4</x:t>
        </x:is>
      </x:c>
      <x:c r="C32" s="10" t="inlineStr">
        <x:is>
          <x:t xml:space="preserve">L</x:t>
        </x:is>
      </x:c>
      <x:c r="D32" s="10" t="inlineStr">
        <x:is>
          <x:t xml:space="preserve">Scope calibration / claim discipline</x:t>
        </x:is>
      </x:c>
      <x:c r="E32" s="10" t="inlineStr">
        <x:is>
          <x:t xml:space="preserve">Cross-cutting</x:t>
        </x:is>
      </x:c>
      <x:c r="F32" s="23" t="n">
        <x:v>1</x:v>
      </x:c>
      <x:c r="G32" s="23" t="n">
        <x:v>1</x:v>
      </x:c>
      <x:c r="H32" s="23" t="n">
        <x:v>1</x:v>
      </x:c>
      <x:c r="I32" s="23" t="n">
        <x:v>1</x:v>
      </x:c>
      <x:c r="J32" s="23" t="n">
        <x:v>1</x:v>
      </x:c>
      <x:c r="K32" s="14">
        <x:f>IF(AND($A32="Y",$C32&lt;&gt;""),0.35*$F32+0.25*$G32+0.20*$H32+0.10*$I32+0.10*$J32,"")</x:f>
        <x:v>1</x:v>
      </x:c>
      <x:c r="L32" s="14">
        <x:f>Module_Setup!$D$17</x:f>
        <x:v>3.25</x:v>
      </x:c>
      <x:c r="M32" s="14">
        <x:f>IF(OR($A32&lt;&gt;"Y",$K32&lt;=0,$L32&lt;=0),"",Module_Setup!$D$10*$K32/$L32)</x:f>
        <x:v>4</x:v>
      </x:c>
      <x:c r="N32" s="23" t="n"/>
      <x:c r="O32" s="14">
        <x:f>IF($N32="",$M32,$N32)</x:f>
        <x:v>4</x:v>
      </x:c>
      <x:c r="P32" s="15">
        <x:f>IF($A32&lt;&gt;"Y","",IF($N32&lt;&gt;"","Override used",""))</x:f>
      </x:c>
      <x:c r="Q32" s="10" t="n"/>
    </x:row>
    <x:row r="33" ht="22" customHeight="1">
      <x:c r="A33" s="10" t="inlineStr">
        <x:is>
          <x:t xml:space="preserve">Y</x:t>
        </x:is>
      </x:c>
      <x:c r="B33" s="10" t="inlineStr">
        <x:is>
          <x:t xml:space="preserve">Module 4</x:t>
        </x:is>
      </x:c>
      <x:c r="C33" s="10" t="inlineStr">
        <x:is>
          <x:t xml:space="preserve">M</x:t>
        </x:is>
      </x:c>
      <x:c r="D33" s="10" t="inlineStr">
        <x:is>
          <x:t xml:space="preserve">Relevance discipline / prompt adherence</x:t>
        </x:is>
      </x:c>
      <x:c r="E33" s="10" t="inlineStr">
        <x:is>
          <x:t xml:space="preserve">Cross-cutting</x:t>
        </x:is>
      </x:c>
      <x:c r="F33" s="23" t="n">
        <x:v>1</x:v>
      </x:c>
      <x:c r="G33" s="23" t="n">
        <x:v>1</x:v>
      </x:c>
      <x:c r="H33" s="23" t="n">
        <x:v>1</x:v>
      </x:c>
      <x:c r="I33" s="23" t="n">
        <x:v>1</x:v>
      </x:c>
      <x:c r="J33" s="23" t="n">
        <x:v>1</x:v>
      </x:c>
      <x:c r="K33" s="14">
        <x:f>IF(AND($A33="Y",$C33&lt;&gt;""),0.35*$F33+0.25*$G33+0.20*$H33+0.10*$I33+0.10*$J33,"")</x:f>
        <x:v>1</x:v>
      </x:c>
      <x:c r="L33" s="14">
        <x:f>Module_Setup!$D$17</x:f>
        <x:v>3.25</x:v>
      </x:c>
      <x:c r="M33" s="14">
        <x:f>IF(OR($A33&lt;&gt;"Y",$K33&lt;=0,$L33&lt;=0),"",Module_Setup!$D$10*$K33/$L33)</x:f>
        <x:v>4</x:v>
      </x:c>
      <x:c r="N33" s="23" t="n"/>
      <x:c r="O33" s="14">
        <x:f>IF($N33="",$M33,$N33)</x:f>
        <x:v>4</x:v>
      </x:c>
      <x:c r="P33" s="15">
        <x:f>IF($A33&lt;&gt;"Y","",IF($N33&lt;&gt;"","Override used",""))</x:f>
      </x:c>
      <x:c r="Q33" s="10" t="n"/>
    </x:row>
    <x:row r="34" ht="22" customHeight="1">
      <x:c r="A34" s="10" t="inlineStr">
        <x:is>
          <x:t xml:space="preserve">N</x:t>
        </x:is>
      </x:c>
      <x:c r="B34" s="10" t="inlineStr">
        <x:is>
          <x:t xml:space="preserve">Module 4</x:t>
        </x:is>
      </x:c>
      <x:c r="C34" s="10" t="inlineStr">
        <x:is>
          <x:t xml:space="preserve"/>
        </x:is>
      </x:c>
      <x:c r="D34" s="10" t="inlineStr">
        <x:is>
          <x:t xml:space="preserve"/>
        </x:is>
      </x:c>
      <x:c r="E34" s="10" t="inlineStr">
        <x:is>
          <x:t xml:space="preserve">Cross-cutting</x:t>
        </x:is>
      </x:c>
      <x:c r="F34" s="23" t="n"/>
      <x:c r="G34" s="23" t="n"/>
      <x:c r="H34" s="23" t="n"/>
      <x:c r="I34" s="23" t="n"/>
      <x:c r="J34" s="23" t="n"/>
      <x:c r="K34" s="14">
        <x:f>IF(AND($A34="Y",$C34&lt;&gt;""),0.35*$F34+0.25*$G34+0.20*$H34+0.10*$I34+0.10*$J34,"")</x:f>
      </x:c>
      <x:c r="L34" s="14">
        <x:f>Module_Setup!$D$17</x:f>
        <x:v>3.25</x:v>
      </x:c>
      <x:c r="M34" s="14">
        <x:f>IF(OR($A34&lt;&gt;"Y",$K34&lt;=0,$L34&lt;=0),"",Module_Setup!$D$10*$K34/$L34)</x:f>
      </x:c>
      <x:c r="N34" s="23" t="n"/>
      <x:c r="O34" s="14">
        <x:f>IF($N34="",$M34,$N34)</x:f>
      </x:c>
      <x:c r="P34" s="15">
        <x:f>IF($A34&lt;&gt;"Y","",IF($N34&lt;&gt;"","Override used",""))</x:f>
      </x:c>
      <x:c r="Q34" s="10" t="n"/>
    </x:row>
    <x:row r="35" ht="22" customHeight="1">
      <x:c r="A35" s="10" t="inlineStr">
        <x:is>
          <x:t xml:space="preserve">N</x:t>
        </x:is>
      </x:c>
      <x:c r="B35" s="10" t="inlineStr">
        <x:is>
          <x:t xml:space="preserve">Module 4</x:t>
        </x:is>
      </x:c>
      <x:c r="C35" s="10" t="inlineStr">
        <x:is>
          <x:t xml:space="preserve"/>
        </x:is>
      </x:c>
      <x:c r="D35" s="10" t="inlineStr">
        <x:is>
          <x:t xml:space="preserve"/>
        </x:is>
      </x:c>
      <x:c r="E35" s="10" t="inlineStr">
        <x:is>
          <x:t xml:space="preserve">Cross-cutting</x:t>
        </x:is>
      </x:c>
      <x:c r="F35" s="23" t="n"/>
      <x:c r="G35" s="23" t="n"/>
      <x:c r="H35" s="23" t="n"/>
      <x:c r="I35" s="23" t="n"/>
      <x:c r="J35" s="23" t="n"/>
      <x:c r="K35" s="14">
        <x:f>IF(AND($A35="Y",$C35&lt;&gt;""),0.35*$F35+0.25*$G35+0.20*$H35+0.10*$I35+0.10*$J35,"")</x:f>
      </x:c>
      <x:c r="L35" s="14">
        <x:f>Module_Setup!$D$17</x:f>
        <x:v>3.25</x:v>
      </x:c>
      <x:c r="M35" s="14">
        <x:f>IF(OR($A35&lt;&gt;"Y",$K35&lt;=0,$L35&lt;=0),"",Module_Setup!$D$10*$K35/$L35)</x:f>
      </x:c>
      <x:c r="N35" s="23" t="n"/>
      <x:c r="O35" s="14">
        <x:f>IF($N35="",$M35,$N35)</x:f>
      </x:c>
      <x:c r="P35" s="15">
        <x:f>IF($A35&lt;&gt;"Y","",IF($N35&lt;&gt;"","Override used",""))</x:f>
      </x:c>
      <x:c r="Q35" s="10" t="n"/>
    </x:row>
    <x:row r="36" ht="22" customHeight="1">
      <x:c r="A36" s="10" t="inlineStr">
        <x:is>
          <x:t xml:space="preserve">N</x:t>
        </x:is>
      </x:c>
      <x:c r="B36" s="10" t="inlineStr">
        <x:is>
          <x:t xml:space="preserve">Module 4</x:t>
        </x:is>
      </x:c>
      <x:c r="C36" s="10" t="inlineStr">
        <x:is>
          <x:t xml:space="preserve"/>
        </x:is>
      </x:c>
      <x:c r="D36" s="10" t="inlineStr">
        <x:is>
          <x:t xml:space="preserve"/>
        </x:is>
      </x:c>
      <x:c r="E36" s="10" t="inlineStr">
        <x:is>
          <x:t xml:space="preserve">Cross-cutting</x:t>
        </x:is>
      </x:c>
      <x:c r="F36" s="23" t="n"/>
      <x:c r="G36" s="23" t="n"/>
      <x:c r="H36" s="23" t="n"/>
      <x:c r="I36" s="23" t="n"/>
      <x:c r="J36" s="23" t="n"/>
      <x:c r="K36" s="14">
        <x:f>IF(AND($A36="Y",$C36&lt;&gt;""),0.35*$F36+0.25*$G36+0.20*$H36+0.10*$I36+0.10*$J36,"")</x:f>
      </x:c>
      <x:c r="L36" s="14">
        <x:f>Module_Setup!$D$17</x:f>
        <x:v>3.25</x:v>
      </x:c>
      <x:c r="M36" s="14">
        <x:f>IF(OR($A36&lt;&gt;"Y",$K36&lt;=0,$L36&lt;=0),"",Module_Setup!$D$10*$K36/$L36)</x:f>
      </x:c>
      <x:c r="N36" s="23" t="n"/>
      <x:c r="O36" s="14">
        <x:f>IF($N36="",$M36,$N36)</x:f>
      </x:c>
      <x:c r="P36" s="15">
        <x:f>IF($A36&lt;&gt;"Y","",IF($N36&lt;&gt;"","Override used",""))</x:f>
      </x:c>
      <x:c r="Q36" s="10" t="n"/>
    </x:row>
    <x:row r="37" ht="22" customHeight="1">
      <x:c r="A37" s="10" t="inlineStr">
        <x:is>
          <x:t xml:space="preserve">N</x:t>
        </x:is>
      </x:c>
      <x:c r="B37" s="10" t="inlineStr">
        <x:is>
          <x:t xml:space="preserve">Module 4</x:t>
        </x:is>
      </x:c>
      <x:c r="C37" s="10" t="inlineStr">
        <x:is>
          <x:t xml:space="preserve"/>
        </x:is>
      </x:c>
      <x:c r="D37" s="10" t="inlineStr">
        <x:is>
          <x:t xml:space="preserve"/>
        </x:is>
      </x:c>
      <x:c r="E37" s="10" t="inlineStr">
        <x:is>
          <x:t xml:space="preserve">Cross-cutting</x:t>
        </x:is>
      </x:c>
      <x:c r="F37" s="23" t="n"/>
      <x:c r="G37" s="23" t="n"/>
      <x:c r="H37" s="23" t="n"/>
      <x:c r="I37" s="23" t="n"/>
      <x:c r="J37" s="23" t="n"/>
      <x:c r="K37" s="14">
        <x:f>IF(AND($A37="Y",$C37&lt;&gt;""),0.35*$F37+0.25*$G37+0.20*$H37+0.10*$I37+0.10*$J37,"")</x:f>
      </x:c>
      <x:c r="L37" s="14">
        <x:f>Module_Setup!$D$17</x:f>
        <x:v>3.25</x:v>
      </x:c>
      <x:c r="M37" s="14">
        <x:f>IF(OR($A37&lt;&gt;"Y",$K37&lt;=0,$L37&lt;=0),"",Module_Setup!$D$10*$K37/$L37)</x:f>
      </x:c>
      <x:c r="N37" s="23" t="n"/>
      <x:c r="O37" s="14">
        <x:f>IF($N37="",$M37,$N37)</x:f>
      </x:c>
      <x:c r="P37" s="15">
        <x:f>IF($A37&lt;&gt;"Y","",IF($N37&lt;&gt;"","Override used",""))</x:f>
      </x:c>
      <x:c r="Q37" s="10" t="n"/>
    </x:row>
    <x:row r="38" ht="22" customHeight="1">
      <x:c r="A38" s="10" t="inlineStr">
        <x:is>
          <x:t xml:space="preserve">N</x:t>
        </x:is>
      </x:c>
      <x:c r="B38" s="10" t="inlineStr">
        <x:is>
          <x:t xml:space="preserve">Module 4</x:t>
        </x:is>
      </x:c>
      <x:c r="C38" s="10" t="inlineStr">
        <x:is>
          <x:t xml:space="preserve"/>
        </x:is>
      </x:c>
      <x:c r="D38" s="10" t="inlineStr">
        <x:is>
          <x:t xml:space="preserve"/>
        </x:is>
      </x:c>
      <x:c r="E38" s="10" t="inlineStr">
        <x:is>
          <x:t xml:space="preserve">Cross-cutting</x:t>
        </x:is>
      </x:c>
      <x:c r="F38" s="23" t="n"/>
      <x:c r="G38" s="23" t="n"/>
      <x:c r="H38" s="23" t="n"/>
      <x:c r="I38" s="23" t="n"/>
      <x:c r="J38" s="23" t="n"/>
      <x:c r="K38" s="14">
        <x:f>IF(AND($A38="Y",$C38&lt;&gt;""),0.35*$F38+0.25*$G38+0.20*$H38+0.10*$I38+0.10*$J38,"")</x:f>
      </x:c>
      <x:c r="L38" s="14">
        <x:f>Module_Setup!$D$17</x:f>
        <x:v>3.25</x:v>
      </x:c>
      <x:c r="M38" s="14">
        <x:f>IF(OR($A38&lt;&gt;"Y",$K38&lt;=0,$L38&lt;=0),"",Module_Setup!$D$10*$K38/$L38)</x:f>
      </x:c>
      <x:c r="N38" s="23" t="n"/>
      <x:c r="O38" s="14">
        <x:f>IF($N38="",$M38,$N38)</x:f>
      </x:c>
      <x:c r="P38" s="15">
        <x:f>IF($A38&lt;&gt;"Y","",IF($N38&lt;&gt;"","Override used",""))</x:f>
      </x:c>
      <x:c r="Q38" s="10" t="n"/>
    </x:row>
    <x:row r="39" ht="22" customHeight="1">
      <x:c r="A39" s="10" t="inlineStr">
        <x:is>
          <x:t xml:space="preserve">N</x:t>
        </x:is>
      </x:c>
      <x:c r="B39" s="10" t="inlineStr">
        <x:is>
          <x:t xml:space="preserve">Module 4</x:t>
        </x:is>
      </x:c>
      <x:c r="C39" s="10" t="inlineStr">
        <x:is>
          <x:t xml:space="preserve"/>
        </x:is>
      </x:c>
      <x:c r="D39" s="10" t="inlineStr">
        <x:is>
          <x:t xml:space="preserve"/>
        </x:is>
      </x:c>
      <x:c r="E39" s="10" t="inlineStr">
        <x:is>
          <x:t xml:space="preserve">Cross-cutting</x:t>
        </x:is>
      </x:c>
      <x:c r="F39" s="23" t="n"/>
      <x:c r="G39" s="23" t="n"/>
      <x:c r="H39" s="23" t="n"/>
      <x:c r="I39" s="23" t="n"/>
      <x:c r="J39" s="23" t="n"/>
      <x:c r="K39" s="14">
        <x:f>IF(AND($A39="Y",$C39&lt;&gt;""),0.35*$F39+0.25*$G39+0.20*$H39+0.10*$I39+0.10*$J39,"")</x:f>
      </x:c>
      <x:c r="L39" s="14">
        <x:f>Module_Setup!$D$17</x:f>
        <x:v>3.25</x:v>
      </x:c>
      <x:c r="M39" s="14">
        <x:f>IF(OR($A39&lt;&gt;"Y",$K39&lt;=0,$L39&lt;=0),"",Module_Setup!$D$10*$K39/$L39)</x:f>
      </x:c>
      <x:c r="N39" s="23" t="n"/>
      <x:c r="O39" s="14">
        <x:f>IF($N39="",$M39,$N39)</x:f>
      </x:c>
      <x:c r="P39" s="15">
        <x:f>IF($A39&lt;&gt;"Y","",IF($N39&lt;&gt;"","Override used",""))</x:f>
      </x:c>
      <x:c r="Q39" s="10" t="n"/>
    </x:row>
  </x:sheetData>
  <x:mergeCells>
    <x:mergeCell ref="A2:Q2"/>
    <x:mergeCell ref="A1:Q1"/>
  </x:mergeCells>
  <x:dataValidations count="3">
    <x:dataValidation type="list" allowBlank="1" showDropDown="0" showInputMessage="0" showErrorMessage="0" sqref="A4:A39">
      <x:formula1>"Y,N"</x:formula1>
    </x:dataValidation>
    <x:dataValidation type="list" allowBlank="1" showDropDown="0" showInputMessage="0" showErrorMessage="0" sqref="E4:E39">
      <x:formula1>"Controlling,Secondary,Fallback,Cross-cutting"</x:formula1>
    </x:dataValidation>
    <x:dataValidation type="decimal" operator="between" allowBlank="1" showDropDown="0" showInputMessage="0" showErrorMessage="0" sqref="F4:J39 N4:N39">
      <x:formula1>0</x:formula1>
      <x:formula2>4</x:formula2>
    </x:dataValidation>
  </x:dataValidations>
  <x:pageMargins left="0.7" right="0.7" top="0.75" bottom="0.75" header="0.3" footer="0.3"/>
  <x:legacyDrawing xmlns:r="http://schemas.openxmlformats.org/officeDocument/2006/relationships" r:id="Rca1203aabb2f484d"/>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0" customWidth="1"/>
    <x:col min="2" max="2" width="12" customWidth="1"/>
    <x:col min="3" max="3" width="14" customWidth="1"/>
    <x:col min="4" max="4" width="42" customWidth="1"/>
    <x:col min="5" max="5" width="18" customWidth="1"/>
    <x:col min="6" max="6" width="16" customWidth="1"/>
    <x:col min="7" max="7" width="12" customWidth="1"/>
    <x:col min="8" max="8" width="18" customWidth="1"/>
    <x:col min="9" max="9" width="12" customWidth="1"/>
    <x:col min="10" max="10" width="12" customWidth="1"/>
    <x:col min="11" max="11" width="16" customWidth="1"/>
    <x:col min="12" max="12" width="12" customWidth="1"/>
    <x:col min="13" max="13" width="14" customWidth="1"/>
    <x:col min="14" max="14" width="16" customWidth="1"/>
    <x:col min="15" max="15" width="14" customWidth="1"/>
    <x:col min="16" max="16" width="18" customWidth="1"/>
    <x:col min="17" max="17" width="14" customWidth="1"/>
    <x:col min="18" max="18" width="14" customWidth="1"/>
    <x:col min="19" max="19" width="14" customWidth="1"/>
    <x:col min="20" max="20" width="12" customWidth="1"/>
    <x:col min="21" max="21" width="20" customWidth="1"/>
    <x:col min="22" max="22" width="24" customWidth="1"/>
  </x:cols>
  <x:sheetData>
    <x:row r="1" ht="26" customHeight="1">
      <x:c r="A1" s="1" t="inlineStr">
        <x:is>
          <x:t xml:space="preserve">Emergent rows (centroid-derived and provisional)</x:t>
        </x:is>
      </x:c>
    </x:row>
    <x:row r="2">
      <x:c r="A2" s="4" t="inlineStr">
        <x:is>
          <x:t xml:space="preserve">Only add rows here if the centroid signal is legally meaningful, discriminative, nonredundant, and likely to recur. Blue cells are editable.</x:t>
        </x:is>
      </x:c>
    </x:row>
    <x:row r="3">
      <x:c r="A3" s="11" t="inlineStr">
        <x:is>
          <x:t xml:space="preserve">Include?</x:t>
        </x:is>
      </x:c>
      <x:c r="B3" s="11" t="inlineStr">
        <x:is>
          <x:t xml:space="preserve">Module</x:t>
        </x:is>
      </x:c>
      <x:c r="C3" s="11" t="inlineStr">
        <x:is>
          <x:t xml:space="preserve">Row Code</x:t>
        </x:is>
      </x:c>
      <x:c r="D3" s="11" t="inlineStr">
        <x:is>
          <x:t xml:space="preserve">Row Label</x:t>
        </x:is>
      </x:c>
      <x:c r="E3" s="11" t="inlineStr">
        <x:is>
          <x:t xml:space="preserve">Role</x:t>
        </x:is>
      </x:c>
      <x:c r="F3" s="11" t="inlineStr">
        <x:is>
          <x:t xml:space="preserve">Discriminative Lift</x:t>
        </x:is>
      </x:c>
      <x:c r="G3" s="11" t="inlineStr">
        <x:is>
          <x:t xml:space="preserve">Cluster Mass</x:t>
        </x:is>
      </x:c>
      <x:c r="H3" s="11" t="inlineStr">
        <x:is>
          <x:t xml:space="preserve">Stability / Repeatability</x:t>
        </x:is>
      </x:c>
      <x:c r="I3" s="11" t="inlineStr">
        <x:is>
          <x:t xml:space="preserve">Legal Anchor</x:t>
        </x:is>
      </x:c>
      <x:c r="J3" s="11" t="inlineStr">
        <x:is>
          <x:t xml:space="preserve">Judgeability</x:t>
        </x:is>
      </x:c>
      <x:c r="K3" s="11" t="inlineStr">
        <x:is>
          <x:t xml:space="preserve">Overlap / Redundancy</x:t>
        </x:is>
      </x:c>
      <x:c r="L3" s="11" t="inlineStr">
        <x:is>
          <x:t xml:space="preserve">Zak Approved?</x:t>
        </x:is>
      </x:c>
      <x:c r="M3" s="11" t="inlineStr">
        <x:is>
          <x:t xml:space="preserve">Evidence Score</x:t>
        </x:is>
      </x:c>
      <x:c r="N3" s="11" t="inlineStr">
        <x:is>
          <x:t xml:space="preserve">Combined Base Total</x:t>
        </x:is>
      </x:c>
      <x:c r="O3" s="11" t="inlineStr">
        <x:is>
          <x:t xml:space="preserve">Uncapped Weight</x:t>
        </x:is>
      </x:c>
      <x:c r="P3" s="11" t="inlineStr">
        <x:is>
          <x:t xml:space="preserve">Largest Locked Anchor</x:t>
        </x:is>
      </x:c>
      <x:c r="Q3" s="11" t="inlineStr">
        <x:is>
          <x:t xml:space="preserve">Provisional Cap</x:t>
        </x:is>
      </x:c>
      <x:c r="R3" s="11" t="inlineStr">
        <x:is>
          <x:t xml:space="preserve">Suggested Weight</x:t>
        </x:is>
      </x:c>
      <x:c r="S3" s="11" t="inlineStr">
        <x:is>
          <x:t xml:space="preserve">Human Override</x:t>
        </x:is>
      </x:c>
      <x:c r="T3" s="11" t="inlineStr">
        <x:is>
          <x:t xml:space="preserve">Locked Weight</x:t>
        </x:is>
      </x:c>
      <x:c r="U3" s="11" t="inlineStr">
        <x:is>
          <x:t xml:space="preserve">Review Flag</x:t>
        </x:is>
      </x:c>
      <x:c r="V3" s="11" t="inlineStr">
        <x:is>
          <x:t xml:space="preserve">Notes</x:t>
        </x:is>
      </x:c>
    </x:row>
    <x:row r="4" ht="26" customHeight="1">
      <x:c r="A4" s="19" t="inlineStr">
        <x:is>
          <x:t xml:space="preserve">N</x:t>
        </x:is>
      </x:c>
      <x:c r="B4" s="19" t="inlineStr">
        <x:is>
          <x:t xml:space="preserve">Module 1</x:t>
        </x:is>
      </x:c>
      <x:c r="C4" s="19" t="n"/>
      <x:c r="D4" s="19" t="n"/>
      <x:c r="E4" s="19" t="inlineStr">
        <x:is>
          <x:t xml:space="preserve">Secondary</x:t>
        </x:is>
      </x:c>
      <x:c r="F4" s="20" t="n"/>
      <x:c r="G4" s="20" t="n"/>
      <x:c r="H4" s="20" t="n"/>
      <x:c r="I4" s="20" t="n"/>
      <x:c r="J4" s="20" t="n"/>
      <x:c r="K4" s="20" t="n"/>
      <x:c r="L4" s="19" t="n"/>
      <x:c r="M4" s="21">
        <x:f>IF(AND($A4="Y",$C4&lt;&gt;""),(0.30*$F4+0.20*$G4+0.20*$H4+0.15*$I4+0.15*$J4)*(1-$K4/4),"")</x:f>
      </x:c>
      <x:c r="N4" s="21">
        <x:f>Module_Setup!$D$14</x:f>
        <x:v>5.6</x:v>
      </x:c>
      <x:c r="O4" s="21">
        <x:f>IF(OR($A4&lt;&gt;"Y",$M4&lt;=0,$N4&lt;=0),"",Module_Setup!$D$7*$M4/$N4)</x:f>
      </x:c>
      <x:c r="P4" s="21">
        <x:f>Module_Setup!$E$7</x:f>
        <x:v>15.000000000000002</x:v>
      </x:c>
      <x:c r="Q4" s="21">
        <x:f>IF(AND($A4="Y",$L4&lt;&gt;"Y",$P4&gt;0),0.5*$P4,"")</x:f>
      </x:c>
      <x:c r="R4" s="21">
        <x:f>IF($A4&lt;&gt;"Y","",IF($L4="Y",$O4,MIN($O4,$Q4)))</x:f>
      </x:c>
      <x:c r="S4" s="20" t="n"/>
      <x:c r="T4" s="21">
        <x:f>IF($S4="",$R4,$S4)</x:f>
      </x:c>
      <x:c r="U4" s="22">
        <x:f>IF($A4&lt;&gt;"Y","",IF(AND($L4&lt;&gt;"Y",$R4&lt;$O4),"Zak review: capped",IF($K4&gt;2,"Check overlap",IF($I4&lt;2,"Check legal anchor",""))))</x:f>
      </x:c>
      <x:c r="V4" s="19" t="n"/>
    </x:row>
    <x:row r="5" ht="22" customHeight="1">
      <x:c r="A5" s="10" t="inlineStr">
        <x:is>
          <x:t xml:space="preserve">N</x:t>
        </x:is>
      </x:c>
      <x:c r="B5" s="10" t="inlineStr">
        <x:is>
          <x:t xml:space="preserve">Module 1</x:t>
        </x:is>
      </x:c>
      <x:c r="C5" s="10" t="n"/>
      <x:c r="D5" s="10" t="n"/>
      <x:c r="E5" s="10" t="inlineStr">
        <x:is>
          <x:t xml:space="preserve">Secondary</x:t>
        </x:is>
      </x:c>
      <x:c r="F5" s="23" t="n"/>
      <x:c r="G5" s="23" t="n"/>
      <x:c r="H5" s="23" t="n"/>
      <x:c r="I5" s="23" t="n"/>
      <x:c r="J5" s="23" t="n"/>
      <x:c r="K5" s="23" t="n"/>
      <x:c r="L5" s="10" t="n"/>
      <x:c r="M5" s="14">
        <x:f>IF(AND($A5="Y",$C5&lt;&gt;""),(0.30*$F5+0.20*$G5+0.20*$H5+0.15*$I5+0.15*$J5)*(1-$K5/4),"")</x:f>
      </x:c>
      <x:c r="N5" s="14">
        <x:f>Module_Setup!$D$14</x:f>
        <x:v>5.6</x:v>
      </x:c>
      <x:c r="O5" s="14">
        <x:f>IF(OR($A5&lt;&gt;"Y",$M5&lt;=0,$N5&lt;=0),"",Module_Setup!$D$7*$M5/$N5)</x:f>
      </x:c>
      <x:c r="P5" s="14">
        <x:f>Module_Setup!$E$7</x:f>
        <x:v>15.000000000000002</x:v>
      </x:c>
      <x:c r="Q5" s="14">
        <x:f>IF(AND($A5="Y",$L5&lt;&gt;"Y",$P5&gt;0),0.5*$P5,"")</x:f>
      </x:c>
      <x:c r="R5" s="14">
        <x:f>IF($A5&lt;&gt;"Y","",IF($L5="Y",$O5,MIN($O5,$Q5)))</x:f>
      </x:c>
      <x:c r="S5" s="23" t="n"/>
      <x:c r="T5" s="14">
        <x:f>IF($S5="",$R5,$S5)</x:f>
      </x:c>
      <x:c r="U5" s="15">
        <x:f>IF($A5&lt;&gt;"Y","",IF(AND($L5&lt;&gt;"Y",$R5&lt;$O5),"Zak review: capped",IF($K5&gt;2,"Check overlap",IF($I5&lt;2,"Check legal anchor",""))))</x:f>
      </x:c>
      <x:c r="V5" s="10" t="n"/>
    </x:row>
    <x:row r="6" ht="22" customHeight="1">
      <x:c r="A6" s="10" t="inlineStr">
        <x:is>
          <x:t xml:space="preserve">N</x:t>
        </x:is>
      </x:c>
      <x:c r="B6" s="10" t="inlineStr">
        <x:is>
          <x:t xml:space="preserve">Module 1</x:t>
        </x:is>
      </x:c>
      <x:c r="C6" s="10" t="n"/>
      <x:c r="D6" s="10" t="n"/>
      <x:c r="E6" s="10" t="inlineStr">
        <x:is>
          <x:t xml:space="preserve">Secondary</x:t>
        </x:is>
      </x:c>
      <x:c r="F6" s="23" t="n"/>
      <x:c r="G6" s="23" t="n"/>
      <x:c r="H6" s="23" t="n"/>
      <x:c r="I6" s="23" t="n"/>
      <x:c r="J6" s="23" t="n"/>
      <x:c r="K6" s="23" t="n"/>
      <x:c r="L6" s="10" t="n"/>
      <x:c r="M6" s="14">
        <x:f>IF(AND($A6="Y",$C6&lt;&gt;""),(0.30*$F6+0.20*$G6+0.20*$H6+0.15*$I6+0.15*$J6)*(1-$K6/4),"")</x:f>
      </x:c>
      <x:c r="N6" s="14">
        <x:f>Module_Setup!$D$14</x:f>
        <x:v>5.6</x:v>
      </x:c>
      <x:c r="O6" s="14">
        <x:f>IF(OR($A6&lt;&gt;"Y",$M6&lt;=0,$N6&lt;=0),"",Module_Setup!$D$7*$M6/$N6)</x:f>
      </x:c>
      <x:c r="P6" s="14">
        <x:f>Module_Setup!$E$7</x:f>
        <x:v>15.000000000000002</x:v>
      </x:c>
      <x:c r="Q6" s="14">
        <x:f>IF(AND($A6="Y",$L6&lt;&gt;"Y",$P6&gt;0),0.5*$P6,"")</x:f>
      </x:c>
      <x:c r="R6" s="14">
        <x:f>IF($A6&lt;&gt;"Y","",IF($L6="Y",$O6,MIN($O6,$Q6)))</x:f>
      </x:c>
      <x:c r="S6" s="23" t="n"/>
      <x:c r="T6" s="14">
        <x:f>IF($S6="",$R6,$S6)</x:f>
      </x:c>
      <x:c r="U6" s="15">
        <x:f>IF($A6&lt;&gt;"Y","",IF(AND($L6&lt;&gt;"Y",$R6&lt;$O6),"Zak review: capped",IF($K6&gt;2,"Check overlap",IF($I6&lt;2,"Check legal anchor",""))))</x:f>
      </x:c>
      <x:c r="V6" s="10" t="n"/>
    </x:row>
    <x:row r="7" ht="22" customHeight="1">
      <x:c r="A7" s="10" t="inlineStr">
        <x:is>
          <x:t xml:space="preserve">N</x:t>
        </x:is>
      </x:c>
      <x:c r="B7" s="10" t="inlineStr">
        <x:is>
          <x:t xml:space="preserve">Module 1</x:t>
        </x:is>
      </x:c>
      <x:c r="C7" s="10" t="n"/>
      <x:c r="D7" s="10" t="n"/>
      <x:c r="E7" s="10" t="inlineStr">
        <x:is>
          <x:t xml:space="preserve">Secondary</x:t>
        </x:is>
      </x:c>
      <x:c r="F7" s="23" t="n"/>
      <x:c r="G7" s="23" t="n"/>
      <x:c r="H7" s="23" t="n"/>
      <x:c r="I7" s="23" t="n"/>
      <x:c r="J7" s="23" t="n"/>
      <x:c r="K7" s="23" t="n"/>
      <x:c r="L7" s="10" t="n"/>
      <x:c r="M7" s="14">
        <x:f>IF(AND($A7="Y",$C7&lt;&gt;""),(0.30*$F7+0.20*$G7+0.20*$H7+0.15*$I7+0.15*$J7)*(1-$K7/4),"")</x:f>
      </x:c>
      <x:c r="N7" s="14">
        <x:f>Module_Setup!$D$14</x:f>
        <x:v>5.6</x:v>
      </x:c>
      <x:c r="O7" s="14">
        <x:f>IF(OR($A7&lt;&gt;"Y",$M7&lt;=0,$N7&lt;=0),"",Module_Setup!$D$7*$M7/$N7)</x:f>
      </x:c>
      <x:c r="P7" s="14">
        <x:f>Module_Setup!$E$7</x:f>
        <x:v>15.000000000000002</x:v>
      </x:c>
      <x:c r="Q7" s="14">
        <x:f>IF(AND($A7="Y",$L7&lt;&gt;"Y",$P7&gt;0),0.5*$P7,"")</x:f>
      </x:c>
      <x:c r="R7" s="14">
        <x:f>IF($A7&lt;&gt;"Y","",IF($L7="Y",$O7,MIN($O7,$Q7)))</x:f>
      </x:c>
      <x:c r="S7" s="23" t="n"/>
      <x:c r="T7" s="14">
        <x:f>IF($S7="",$R7,$S7)</x:f>
      </x:c>
      <x:c r="U7" s="15">
        <x:f>IF($A7&lt;&gt;"Y","",IF(AND($L7&lt;&gt;"Y",$R7&lt;$O7),"Zak review: capped",IF($K7&gt;2,"Check overlap",IF($I7&lt;2,"Check legal anchor",""))))</x:f>
      </x:c>
      <x:c r="V7" s="10" t="n"/>
    </x:row>
    <x:row r="8" ht="22" customHeight="1">
      <x:c r="A8" s="10" t="inlineStr">
        <x:is>
          <x:t xml:space="preserve">N</x:t>
        </x:is>
      </x:c>
      <x:c r="B8" s="10" t="inlineStr">
        <x:is>
          <x:t xml:space="preserve">Module 1</x:t>
        </x:is>
      </x:c>
      <x:c r="C8" s="10" t="n"/>
      <x:c r="D8" s="10" t="n"/>
      <x:c r="E8" s="10" t="inlineStr">
        <x:is>
          <x:t xml:space="preserve">Secondary</x:t>
        </x:is>
      </x:c>
      <x:c r="F8" s="23" t="n"/>
      <x:c r="G8" s="23" t="n"/>
      <x:c r="H8" s="23" t="n"/>
      <x:c r="I8" s="23" t="n"/>
      <x:c r="J8" s="23" t="n"/>
      <x:c r="K8" s="23" t="n"/>
      <x:c r="L8" s="10" t="n"/>
      <x:c r="M8" s="14">
        <x:f>IF(AND($A8="Y",$C8&lt;&gt;""),(0.30*$F8+0.20*$G8+0.20*$H8+0.15*$I8+0.15*$J8)*(1-$K8/4),"")</x:f>
      </x:c>
      <x:c r="N8" s="14">
        <x:f>Module_Setup!$D$14</x:f>
        <x:v>5.6</x:v>
      </x:c>
      <x:c r="O8" s="14">
        <x:f>IF(OR($A8&lt;&gt;"Y",$M8&lt;=0,$N8&lt;=0),"",Module_Setup!$D$7*$M8/$N8)</x:f>
      </x:c>
      <x:c r="P8" s="14">
        <x:f>Module_Setup!$E$7</x:f>
        <x:v>15.000000000000002</x:v>
      </x:c>
      <x:c r="Q8" s="14">
        <x:f>IF(AND($A8="Y",$L8&lt;&gt;"Y",$P8&gt;0),0.5*$P8,"")</x:f>
      </x:c>
      <x:c r="R8" s="14">
        <x:f>IF($A8&lt;&gt;"Y","",IF($L8="Y",$O8,MIN($O8,$Q8)))</x:f>
      </x:c>
      <x:c r="S8" s="23" t="n"/>
      <x:c r="T8" s="14">
        <x:f>IF($S8="",$R8,$S8)</x:f>
      </x:c>
      <x:c r="U8" s="15">
        <x:f>IF($A8&lt;&gt;"Y","",IF(AND($L8&lt;&gt;"Y",$R8&lt;$O8),"Zak review: capped",IF($K8&gt;2,"Check overlap",IF($I8&lt;2,"Check legal anchor",""))))</x:f>
      </x:c>
      <x:c r="V8" s="10" t="n"/>
    </x:row>
    <x:row r="9" ht="26" customHeight="1">
      <x:c r="A9" s="19" t="inlineStr">
        <x:is>
          <x:t xml:space="preserve">N</x:t>
        </x:is>
      </x:c>
      <x:c r="B9" s="19" t="inlineStr">
        <x:is>
          <x:t xml:space="preserve">Module 2</x:t>
        </x:is>
      </x:c>
      <x:c r="C9" s="19" t="n"/>
      <x:c r="D9" s="19" t="n"/>
      <x:c r="E9" s="19" t="inlineStr">
        <x:is>
          <x:t xml:space="preserve">Secondary</x:t>
        </x:is>
      </x:c>
      <x:c r="F9" s="20" t="n"/>
      <x:c r="G9" s="20" t="n"/>
      <x:c r="H9" s="20" t="n"/>
      <x:c r="I9" s="20" t="n"/>
      <x:c r="J9" s="20" t="n"/>
      <x:c r="K9" s="20" t="n"/>
      <x:c r="L9" s="19" t="n"/>
      <x:c r="M9" s="21">
        <x:f>IF(AND($A9="Y",$C9&lt;&gt;""),(0.30*$F9+0.20*$G9+0.20*$H9+0.15*$I9+0.15*$J9)*(1-$K9/4),"")</x:f>
      </x:c>
      <x:c r="N9" s="21">
        <x:f>Module_Setup!$D$15</x:f>
        <x:v>8</x:v>
      </x:c>
      <x:c r="O9" s="21">
        <x:f>IF(OR($A9&lt;&gt;"Y",$M9&lt;=0,$N9&lt;=0),"",Module_Setup!$D$8*$M9/$N9)</x:f>
      </x:c>
      <x:c r="P9" s="21">
        <x:f>Module_Setup!$E$8</x:f>
        <x:v>15</x:v>
      </x:c>
      <x:c r="Q9" s="21">
        <x:f>IF(AND($A9="Y",$L9&lt;&gt;"Y",$P9&gt;0),0.5*$P9,"")</x:f>
      </x:c>
      <x:c r="R9" s="21">
        <x:f>IF($A9&lt;&gt;"Y","",IF($L9="Y",$O9,MIN($O9,$Q9)))</x:f>
      </x:c>
      <x:c r="S9" s="20" t="n"/>
      <x:c r="T9" s="21">
        <x:f>IF($S9="",$R9,$S9)</x:f>
      </x:c>
      <x:c r="U9" s="22">
        <x:f>IF($A9&lt;&gt;"Y","",IF(AND($L9&lt;&gt;"Y",$R9&lt;$O9),"Zak review: capped",IF($K9&gt;2,"Check overlap",IF($I9&lt;2,"Check legal anchor",""))))</x:f>
      </x:c>
      <x:c r="V9" s="19" t="n"/>
    </x:row>
    <x:row r="10" ht="22" customHeight="1">
      <x:c r="A10" s="10" t="inlineStr">
        <x:is>
          <x:t xml:space="preserve">N</x:t>
        </x:is>
      </x:c>
      <x:c r="B10" s="10" t="inlineStr">
        <x:is>
          <x:t xml:space="preserve">Module 2</x:t>
        </x:is>
      </x:c>
      <x:c r="C10" s="10" t="n"/>
      <x:c r="D10" s="10" t="n"/>
      <x:c r="E10" s="10" t="inlineStr">
        <x:is>
          <x:t xml:space="preserve">Secondary</x:t>
        </x:is>
      </x:c>
      <x:c r="F10" s="23" t="n"/>
      <x:c r="G10" s="23" t="n"/>
      <x:c r="H10" s="23" t="n"/>
      <x:c r="I10" s="23" t="n"/>
      <x:c r="J10" s="23" t="n"/>
      <x:c r="K10" s="23" t="n"/>
      <x:c r="L10" s="10" t="n"/>
      <x:c r="M10" s="14">
        <x:f>IF(AND($A10="Y",$C10&lt;&gt;""),(0.30*$F10+0.20*$G10+0.20*$H10+0.15*$I10+0.15*$J10)*(1-$K10/4),"")</x:f>
      </x:c>
      <x:c r="N10" s="14">
        <x:f>Module_Setup!$D$15</x:f>
        <x:v>8</x:v>
      </x:c>
      <x:c r="O10" s="14">
        <x:f>IF(OR($A10&lt;&gt;"Y",$M10&lt;=0,$N10&lt;=0),"",Module_Setup!$D$8*$M10/$N10)</x:f>
      </x:c>
      <x:c r="P10" s="14">
        <x:f>Module_Setup!$E$8</x:f>
        <x:v>15</x:v>
      </x:c>
      <x:c r="Q10" s="14">
        <x:f>IF(AND($A10="Y",$L10&lt;&gt;"Y",$P10&gt;0),0.5*$P10,"")</x:f>
      </x:c>
      <x:c r="R10" s="14">
        <x:f>IF($A10&lt;&gt;"Y","",IF($L10="Y",$O10,MIN($O10,$Q10)))</x:f>
      </x:c>
      <x:c r="S10" s="23" t="n"/>
      <x:c r="T10" s="14">
        <x:f>IF($S10="",$R10,$S10)</x:f>
      </x:c>
      <x:c r="U10" s="15">
        <x:f>IF($A10&lt;&gt;"Y","",IF(AND($L10&lt;&gt;"Y",$R10&lt;$O10),"Zak review: capped",IF($K10&gt;2,"Check overlap",IF($I10&lt;2,"Check legal anchor",""))))</x:f>
      </x:c>
      <x:c r="V10" s="10" t="n"/>
    </x:row>
    <x:row r="11" ht="22" customHeight="1">
      <x:c r="A11" s="10" t="inlineStr">
        <x:is>
          <x:t xml:space="preserve">N</x:t>
        </x:is>
      </x:c>
      <x:c r="B11" s="10" t="inlineStr">
        <x:is>
          <x:t xml:space="preserve">Module 2</x:t>
        </x:is>
      </x:c>
      <x:c r="C11" s="10" t="n"/>
      <x:c r="D11" s="10" t="n"/>
      <x:c r="E11" s="10" t="inlineStr">
        <x:is>
          <x:t xml:space="preserve">Secondary</x:t>
        </x:is>
      </x:c>
      <x:c r="F11" s="23" t="n"/>
      <x:c r="G11" s="23" t="n"/>
      <x:c r="H11" s="23" t="n"/>
      <x:c r="I11" s="23" t="n"/>
      <x:c r="J11" s="23" t="n"/>
      <x:c r="K11" s="23" t="n"/>
      <x:c r="L11" s="10" t="n"/>
      <x:c r="M11" s="14">
        <x:f>IF(AND($A11="Y",$C11&lt;&gt;""),(0.30*$F11+0.20*$G11+0.20*$H11+0.15*$I11+0.15*$J11)*(1-$K11/4),"")</x:f>
      </x:c>
      <x:c r="N11" s="14">
        <x:f>Module_Setup!$D$15</x:f>
        <x:v>8</x:v>
      </x:c>
      <x:c r="O11" s="14">
        <x:f>IF(OR($A11&lt;&gt;"Y",$M11&lt;=0,$N11&lt;=0),"",Module_Setup!$D$8*$M11/$N11)</x:f>
      </x:c>
      <x:c r="P11" s="14">
        <x:f>Module_Setup!$E$8</x:f>
        <x:v>15</x:v>
      </x:c>
      <x:c r="Q11" s="14">
        <x:f>IF(AND($A11="Y",$L11&lt;&gt;"Y",$P11&gt;0),0.5*$P11,"")</x:f>
      </x:c>
      <x:c r="R11" s="14">
        <x:f>IF($A11&lt;&gt;"Y","",IF($L11="Y",$O11,MIN($O11,$Q11)))</x:f>
      </x:c>
      <x:c r="S11" s="23" t="n"/>
      <x:c r="T11" s="14">
        <x:f>IF($S11="",$R11,$S11)</x:f>
      </x:c>
      <x:c r="U11" s="15">
        <x:f>IF($A11&lt;&gt;"Y","",IF(AND($L11&lt;&gt;"Y",$R11&lt;$O11),"Zak review: capped",IF($K11&gt;2,"Check overlap",IF($I11&lt;2,"Check legal anchor",""))))</x:f>
      </x:c>
      <x:c r="V11" s="10" t="n"/>
    </x:row>
    <x:row r="12" ht="22" customHeight="1">
      <x:c r="A12" s="10" t="inlineStr">
        <x:is>
          <x:t xml:space="preserve">N</x:t>
        </x:is>
      </x:c>
      <x:c r="B12" s="10" t="inlineStr">
        <x:is>
          <x:t xml:space="preserve">Module 2</x:t>
        </x:is>
      </x:c>
      <x:c r="C12" s="10" t="n"/>
      <x:c r="D12" s="10" t="n"/>
      <x:c r="E12" s="10" t="inlineStr">
        <x:is>
          <x:t xml:space="preserve">Secondary</x:t>
        </x:is>
      </x:c>
      <x:c r="F12" s="23" t="n"/>
      <x:c r="G12" s="23" t="n"/>
      <x:c r="H12" s="23" t="n"/>
      <x:c r="I12" s="23" t="n"/>
      <x:c r="J12" s="23" t="n"/>
      <x:c r="K12" s="23" t="n"/>
      <x:c r="L12" s="10" t="n"/>
      <x:c r="M12" s="14">
        <x:f>IF(AND($A12="Y",$C12&lt;&gt;""),(0.30*$F12+0.20*$G12+0.20*$H12+0.15*$I12+0.15*$J12)*(1-$K12/4),"")</x:f>
      </x:c>
      <x:c r="N12" s="14">
        <x:f>Module_Setup!$D$15</x:f>
        <x:v>8</x:v>
      </x:c>
      <x:c r="O12" s="14">
        <x:f>IF(OR($A12&lt;&gt;"Y",$M12&lt;=0,$N12&lt;=0),"",Module_Setup!$D$8*$M12/$N12)</x:f>
      </x:c>
      <x:c r="P12" s="14">
        <x:f>Module_Setup!$E$8</x:f>
        <x:v>15</x:v>
      </x:c>
      <x:c r="Q12" s="14">
        <x:f>IF(AND($A12="Y",$L12&lt;&gt;"Y",$P12&gt;0),0.5*$P12,"")</x:f>
      </x:c>
      <x:c r="R12" s="14">
        <x:f>IF($A12&lt;&gt;"Y","",IF($L12="Y",$O12,MIN($O12,$Q12)))</x:f>
      </x:c>
      <x:c r="S12" s="23" t="n"/>
      <x:c r="T12" s="14">
        <x:f>IF($S12="",$R12,$S12)</x:f>
      </x:c>
      <x:c r="U12" s="15">
        <x:f>IF($A12&lt;&gt;"Y","",IF(AND($L12&lt;&gt;"Y",$R12&lt;$O12),"Zak review: capped",IF($K12&gt;2,"Check overlap",IF($I12&lt;2,"Check legal anchor",""))))</x:f>
      </x:c>
      <x:c r="V12" s="10" t="n"/>
    </x:row>
    <x:row r="13" ht="22" customHeight="1">
      <x:c r="A13" s="10" t="inlineStr">
        <x:is>
          <x:t xml:space="preserve">N</x:t>
        </x:is>
      </x:c>
      <x:c r="B13" s="10" t="inlineStr">
        <x:is>
          <x:t xml:space="preserve">Module 2</x:t>
        </x:is>
      </x:c>
      <x:c r="C13" s="10" t="n"/>
      <x:c r="D13" s="10" t="n"/>
      <x:c r="E13" s="10" t="inlineStr">
        <x:is>
          <x:t xml:space="preserve">Secondary</x:t>
        </x:is>
      </x:c>
      <x:c r="F13" s="23" t="n"/>
      <x:c r="G13" s="23" t="n"/>
      <x:c r="H13" s="23" t="n"/>
      <x:c r="I13" s="23" t="n"/>
      <x:c r="J13" s="23" t="n"/>
      <x:c r="K13" s="23" t="n"/>
      <x:c r="L13" s="10" t="n"/>
      <x:c r="M13" s="14">
        <x:f>IF(AND($A13="Y",$C13&lt;&gt;""),(0.30*$F13+0.20*$G13+0.20*$H13+0.15*$I13+0.15*$J13)*(1-$K13/4),"")</x:f>
      </x:c>
      <x:c r="N13" s="14">
        <x:f>Module_Setup!$D$15</x:f>
        <x:v>8</x:v>
      </x:c>
      <x:c r="O13" s="14">
        <x:f>IF(OR($A13&lt;&gt;"Y",$M13&lt;=0,$N13&lt;=0),"",Module_Setup!$D$8*$M13/$N13)</x:f>
      </x:c>
      <x:c r="P13" s="14">
        <x:f>Module_Setup!$E$8</x:f>
        <x:v>15</x:v>
      </x:c>
      <x:c r="Q13" s="14">
        <x:f>IF(AND($A13="Y",$L13&lt;&gt;"Y",$P13&gt;0),0.5*$P13,"")</x:f>
      </x:c>
      <x:c r="R13" s="14">
        <x:f>IF($A13&lt;&gt;"Y","",IF($L13="Y",$O13,MIN($O13,$Q13)))</x:f>
      </x:c>
      <x:c r="S13" s="23" t="n"/>
      <x:c r="T13" s="14">
        <x:f>IF($S13="",$R13,$S13)</x:f>
      </x:c>
      <x:c r="U13" s="15">
        <x:f>IF($A13&lt;&gt;"Y","",IF(AND($L13&lt;&gt;"Y",$R13&lt;$O13),"Zak review: capped",IF($K13&gt;2,"Check overlap",IF($I13&lt;2,"Check legal anchor",""))))</x:f>
      </x:c>
      <x:c r="V13" s="10" t="n"/>
    </x:row>
    <x:row r="14" ht="22" customHeight="1">
      <x:c r="A14" s="10" t="inlineStr">
        <x:is>
          <x:t xml:space="preserve">N</x:t>
        </x:is>
      </x:c>
      <x:c r="B14" s="10" t="inlineStr">
        <x:is>
          <x:t xml:space="preserve">Module 2</x:t>
        </x:is>
      </x:c>
      <x:c r="C14" s="10" t="n"/>
      <x:c r="D14" s="10" t="n"/>
      <x:c r="E14" s="10" t="inlineStr">
        <x:is>
          <x:t xml:space="preserve">Secondary</x:t>
        </x:is>
      </x:c>
      <x:c r="F14" s="23" t="n"/>
      <x:c r="G14" s="23" t="n"/>
      <x:c r="H14" s="23" t="n"/>
      <x:c r="I14" s="23" t="n"/>
      <x:c r="J14" s="23" t="n"/>
      <x:c r="K14" s="23" t="n"/>
      <x:c r="L14" s="10" t="n"/>
      <x:c r="M14" s="14">
        <x:f>IF(AND($A14="Y",$C14&lt;&gt;""),(0.30*$F14+0.20*$G14+0.20*$H14+0.15*$I14+0.15*$J14)*(1-$K14/4),"")</x:f>
      </x:c>
      <x:c r="N14" s="14">
        <x:f>Module_Setup!$D$15</x:f>
        <x:v>8</x:v>
      </x:c>
      <x:c r="O14" s="14">
        <x:f>IF(OR($A14&lt;&gt;"Y",$M14&lt;=0,$N14&lt;=0),"",Module_Setup!$D$8*$M14/$N14)</x:f>
      </x:c>
      <x:c r="P14" s="14">
        <x:f>Module_Setup!$E$8</x:f>
        <x:v>15</x:v>
      </x:c>
      <x:c r="Q14" s="14">
        <x:f>IF(AND($A14="Y",$L14&lt;&gt;"Y",$P14&gt;0),0.5*$P14,"")</x:f>
      </x:c>
      <x:c r="R14" s="14">
        <x:f>IF($A14&lt;&gt;"Y","",IF($L14="Y",$O14,MIN($O14,$Q14)))</x:f>
      </x:c>
      <x:c r="S14" s="23" t="n"/>
      <x:c r="T14" s="14">
        <x:f>IF($S14="",$R14,$S14)</x:f>
      </x:c>
      <x:c r="U14" s="15">
        <x:f>IF($A14&lt;&gt;"Y","",IF(AND($L14&lt;&gt;"Y",$R14&lt;$O14),"Zak review: capped",IF($K14&gt;2,"Check overlap",IF($I14&lt;2,"Check legal anchor",""))))</x:f>
      </x:c>
      <x:c r="V14" s="10" t="n"/>
    </x:row>
    <x:row r="15" ht="22" customHeight="1">
      <x:c r="A15" s="10" t="inlineStr">
        <x:is>
          <x:t xml:space="preserve">N</x:t>
        </x:is>
      </x:c>
      <x:c r="B15" s="10" t="inlineStr">
        <x:is>
          <x:t xml:space="preserve">Module 2</x:t>
        </x:is>
      </x:c>
      <x:c r="C15" s="10" t="n"/>
      <x:c r="D15" s="10" t="n"/>
      <x:c r="E15" s="10" t="inlineStr">
        <x:is>
          <x:t xml:space="preserve">Secondary</x:t>
        </x:is>
      </x:c>
      <x:c r="F15" s="23" t="n"/>
      <x:c r="G15" s="23" t="n"/>
      <x:c r="H15" s="23" t="n"/>
      <x:c r="I15" s="23" t="n"/>
      <x:c r="J15" s="23" t="n"/>
      <x:c r="K15" s="23" t="n"/>
      <x:c r="L15" s="10" t="n"/>
      <x:c r="M15" s="14">
        <x:f>IF(AND($A15="Y",$C15&lt;&gt;""),(0.30*$F15+0.20*$G15+0.20*$H15+0.15*$I15+0.15*$J15)*(1-$K15/4),"")</x:f>
      </x:c>
      <x:c r="N15" s="14">
        <x:f>Module_Setup!$D$15</x:f>
        <x:v>8</x:v>
      </x:c>
      <x:c r="O15" s="14">
        <x:f>IF(OR($A15&lt;&gt;"Y",$M15&lt;=0,$N15&lt;=0),"",Module_Setup!$D$8*$M15/$N15)</x:f>
      </x:c>
      <x:c r="P15" s="14">
        <x:f>Module_Setup!$E$8</x:f>
        <x:v>15</x:v>
      </x:c>
      <x:c r="Q15" s="14">
        <x:f>IF(AND($A15="Y",$L15&lt;&gt;"Y",$P15&gt;0),0.5*$P15,"")</x:f>
      </x:c>
      <x:c r="R15" s="14">
        <x:f>IF($A15&lt;&gt;"Y","",IF($L15="Y",$O15,MIN($O15,$Q15)))</x:f>
      </x:c>
      <x:c r="S15" s="23" t="n"/>
      <x:c r="T15" s="14">
        <x:f>IF($S15="",$R15,$S15)</x:f>
      </x:c>
      <x:c r="U15" s="15">
        <x:f>IF($A15&lt;&gt;"Y","",IF(AND($L15&lt;&gt;"Y",$R15&lt;$O15),"Zak review: capped",IF($K15&gt;2,"Check overlap",IF($I15&lt;2,"Check legal anchor",""))))</x:f>
      </x:c>
      <x:c r="V15" s="10" t="n"/>
    </x:row>
    <x:row r="16" ht="22" customHeight="1">
      <x:c r="A16" s="10" t="inlineStr">
        <x:is>
          <x:t xml:space="preserve">N</x:t>
        </x:is>
      </x:c>
      <x:c r="B16" s="10" t="inlineStr">
        <x:is>
          <x:t xml:space="preserve">Module 2</x:t>
        </x:is>
      </x:c>
      <x:c r="C16" s="10" t="n"/>
      <x:c r="D16" s="10" t="n"/>
      <x:c r="E16" s="10" t="inlineStr">
        <x:is>
          <x:t xml:space="preserve">Secondary</x:t>
        </x:is>
      </x:c>
      <x:c r="F16" s="23" t="n"/>
      <x:c r="G16" s="23" t="n"/>
      <x:c r="H16" s="23" t="n"/>
      <x:c r="I16" s="23" t="n"/>
      <x:c r="J16" s="23" t="n"/>
      <x:c r="K16" s="23" t="n"/>
      <x:c r="L16" s="10" t="n"/>
      <x:c r="M16" s="14">
        <x:f>IF(AND($A16="Y",$C16&lt;&gt;""),(0.30*$F16+0.20*$G16+0.20*$H16+0.15*$I16+0.15*$J16)*(1-$K16/4),"")</x:f>
      </x:c>
      <x:c r="N16" s="14">
        <x:f>Module_Setup!$D$15</x:f>
        <x:v>8</x:v>
      </x:c>
      <x:c r="O16" s="14">
        <x:f>IF(OR($A16&lt;&gt;"Y",$M16&lt;=0,$N16&lt;=0),"",Module_Setup!$D$8*$M16/$N16)</x:f>
      </x:c>
      <x:c r="P16" s="14">
        <x:f>Module_Setup!$E$8</x:f>
        <x:v>15</x:v>
      </x:c>
      <x:c r="Q16" s="14">
        <x:f>IF(AND($A16="Y",$L16&lt;&gt;"Y",$P16&gt;0),0.5*$P16,"")</x:f>
      </x:c>
      <x:c r="R16" s="14">
        <x:f>IF($A16&lt;&gt;"Y","",IF($L16="Y",$O16,MIN($O16,$Q16)))</x:f>
      </x:c>
      <x:c r="S16" s="23" t="n"/>
      <x:c r="T16" s="14">
        <x:f>IF($S16="",$R16,$S16)</x:f>
      </x:c>
      <x:c r="U16" s="15">
        <x:f>IF($A16&lt;&gt;"Y","",IF(AND($L16&lt;&gt;"Y",$R16&lt;$O16),"Zak review: capped",IF($K16&gt;2,"Check overlap",IF($I16&lt;2,"Check legal anchor",""))))</x:f>
      </x:c>
      <x:c r="V16" s="10" t="n"/>
    </x:row>
    <x:row r="17" ht="26" customHeight="1">
      <x:c r="A17" s="19" t="inlineStr">
        <x:is>
          <x:t xml:space="preserve">N</x:t>
        </x:is>
      </x:c>
      <x:c r="B17" s="19" t="inlineStr">
        <x:is>
          <x:t xml:space="preserve">Module 3</x:t>
        </x:is>
      </x:c>
      <x:c r="C17" s="19" t="n"/>
      <x:c r="D17" s="19" t="n"/>
      <x:c r="E17" s="19" t="inlineStr">
        <x:is>
          <x:t xml:space="preserve">Fallback</x:t>
        </x:is>
      </x:c>
      <x:c r="F17" s="20" t="n"/>
      <x:c r="G17" s="20" t="n"/>
      <x:c r="H17" s="20" t="n"/>
      <x:c r="I17" s="20" t="n"/>
      <x:c r="J17" s="20" t="n"/>
      <x:c r="K17" s="20" t="n"/>
      <x:c r="L17" s="19" t="n"/>
      <x:c r="M17" s="21">
        <x:f>IF(AND($A17="Y",$C17&lt;&gt;""),(0.30*$F17+0.20*$G17+0.20*$H17+0.15*$I17+0.15*$J17)*(1-$K17/4),"")</x:f>
      </x:c>
      <x:c r="N17" s="21">
        <x:f>Module_Setup!$D$16</x:f>
        <x:v>3.7999999999999994</x:v>
      </x:c>
      <x:c r="O17" s="21">
        <x:f>IF(OR($A17&lt;&gt;"Y",$M17&lt;=0,$N17&lt;=0),"",Module_Setup!$D$9*$M17/$N17)</x:f>
      </x:c>
      <x:c r="P17" s="21">
        <x:f>Module_Setup!$E$9</x:f>
        <x:v>7</x:v>
      </x:c>
      <x:c r="Q17" s="21">
        <x:f>IF(AND($A17="Y",$L17&lt;&gt;"Y",$P17&gt;0),0.5*$P17,"")</x:f>
      </x:c>
      <x:c r="R17" s="21">
        <x:f>IF($A17&lt;&gt;"Y","",IF($L17="Y",$O17,MIN($O17,$Q17)))</x:f>
      </x:c>
      <x:c r="S17" s="20" t="n"/>
      <x:c r="T17" s="21">
        <x:f>IF($S17="",$R17,$S17)</x:f>
      </x:c>
      <x:c r="U17" s="22">
        <x:f>IF($A17&lt;&gt;"Y","",IF(AND($L17&lt;&gt;"Y",$R17&lt;$O17),"Zak review: capped",IF($K17&gt;2,"Check overlap",IF($I17&lt;2,"Check legal anchor",""))))</x:f>
      </x:c>
      <x:c r="V17" s="19" t="n"/>
    </x:row>
    <x:row r="18" ht="22" customHeight="1">
      <x:c r="A18" s="10" t="inlineStr">
        <x:is>
          <x:t xml:space="preserve">N</x:t>
        </x:is>
      </x:c>
      <x:c r="B18" s="10" t="inlineStr">
        <x:is>
          <x:t xml:space="preserve">Module 3</x:t>
        </x:is>
      </x:c>
      <x:c r="C18" s="10" t="n"/>
      <x:c r="D18" s="10" t="n"/>
      <x:c r="E18" s="10" t="inlineStr">
        <x:is>
          <x:t xml:space="preserve">Fallback</x:t>
        </x:is>
      </x:c>
      <x:c r="F18" s="23" t="n"/>
      <x:c r="G18" s="23" t="n"/>
      <x:c r="H18" s="23" t="n"/>
      <x:c r="I18" s="23" t="n"/>
      <x:c r="J18" s="23" t="n"/>
      <x:c r="K18" s="23" t="n"/>
      <x:c r="L18" s="10" t="n"/>
      <x:c r="M18" s="14">
        <x:f>IF(AND($A18="Y",$C18&lt;&gt;""),(0.30*$F18+0.20*$G18+0.20*$H18+0.15*$I18+0.15*$J18)*(1-$K18/4),"")</x:f>
      </x:c>
      <x:c r="N18" s="14">
        <x:f>Module_Setup!$D$16</x:f>
        <x:v>3.7999999999999994</x:v>
      </x:c>
      <x:c r="O18" s="14">
        <x:f>IF(OR($A18&lt;&gt;"Y",$M18&lt;=0,$N18&lt;=0),"",Module_Setup!$D$9*$M18/$N18)</x:f>
      </x:c>
      <x:c r="P18" s="14">
        <x:f>Module_Setup!$E$9</x:f>
        <x:v>7</x:v>
      </x:c>
      <x:c r="Q18" s="14">
        <x:f>IF(AND($A18="Y",$L18&lt;&gt;"Y",$P18&gt;0),0.5*$P18,"")</x:f>
      </x:c>
      <x:c r="R18" s="14">
        <x:f>IF($A18&lt;&gt;"Y","",IF($L18="Y",$O18,MIN($O18,$Q18)))</x:f>
      </x:c>
      <x:c r="S18" s="23" t="n"/>
      <x:c r="T18" s="14">
        <x:f>IF($S18="",$R18,$S18)</x:f>
      </x:c>
      <x:c r="U18" s="15">
        <x:f>IF($A18&lt;&gt;"Y","",IF(AND($L18&lt;&gt;"Y",$R18&lt;$O18),"Zak review: capped",IF($K18&gt;2,"Check overlap",IF($I18&lt;2,"Check legal anchor",""))))</x:f>
      </x:c>
      <x:c r="V18" s="10" t="n"/>
    </x:row>
    <x:row r="19" ht="22" customHeight="1">
      <x:c r="A19" s="10" t="inlineStr">
        <x:is>
          <x:t xml:space="preserve">N</x:t>
        </x:is>
      </x:c>
      <x:c r="B19" s="10" t="inlineStr">
        <x:is>
          <x:t xml:space="preserve">Module 3</x:t>
        </x:is>
      </x:c>
      <x:c r="C19" s="10" t="n"/>
      <x:c r="D19" s="10" t="n"/>
      <x:c r="E19" s="10" t="inlineStr">
        <x:is>
          <x:t xml:space="preserve">Fallback</x:t>
        </x:is>
      </x:c>
      <x:c r="F19" s="23" t="n"/>
      <x:c r="G19" s="23" t="n"/>
      <x:c r="H19" s="23" t="n"/>
      <x:c r="I19" s="23" t="n"/>
      <x:c r="J19" s="23" t="n"/>
      <x:c r="K19" s="23" t="n"/>
      <x:c r="L19" s="10" t="n"/>
      <x:c r="M19" s="14">
        <x:f>IF(AND($A19="Y",$C19&lt;&gt;""),(0.30*$F19+0.20*$G19+0.20*$H19+0.15*$I19+0.15*$J19)*(1-$K19/4),"")</x:f>
      </x:c>
      <x:c r="N19" s="14">
        <x:f>Module_Setup!$D$16</x:f>
        <x:v>3.7999999999999994</x:v>
      </x:c>
      <x:c r="O19" s="14">
        <x:f>IF(OR($A19&lt;&gt;"Y",$M19&lt;=0,$N19&lt;=0),"",Module_Setup!$D$9*$M19/$N19)</x:f>
      </x:c>
      <x:c r="P19" s="14">
        <x:f>Module_Setup!$E$9</x:f>
        <x:v>7</x:v>
      </x:c>
      <x:c r="Q19" s="14">
        <x:f>IF(AND($A19="Y",$L19&lt;&gt;"Y",$P19&gt;0),0.5*$P19,"")</x:f>
      </x:c>
      <x:c r="R19" s="14">
        <x:f>IF($A19&lt;&gt;"Y","",IF($L19="Y",$O19,MIN($O19,$Q19)))</x:f>
      </x:c>
      <x:c r="S19" s="23" t="n"/>
      <x:c r="T19" s="14">
        <x:f>IF($S19="",$R19,$S19)</x:f>
      </x:c>
      <x:c r="U19" s="15">
        <x:f>IF($A19&lt;&gt;"Y","",IF(AND($L19&lt;&gt;"Y",$R19&lt;$O19),"Zak review: capped",IF($K19&gt;2,"Check overlap",IF($I19&lt;2,"Check legal anchor",""))))</x:f>
      </x:c>
      <x:c r="V19" s="10" t="n"/>
    </x:row>
    <x:row r="20" ht="22" customHeight="1">
      <x:c r="A20" s="10" t="inlineStr">
        <x:is>
          <x:t xml:space="preserve">N</x:t>
        </x:is>
      </x:c>
      <x:c r="B20" s="10" t="inlineStr">
        <x:is>
          <x:t xml:space="preserve">Module 3</x:t>
        </x:is>
      </x:c>
      <x:c r="C20" s="10" t="n"/>
      <x:c r="D20" s="10" t="n"/>
      <x:c r="E20" s="10" t="inlineStr">
        <x:is>
          <x:t xml:space="preserve">Fallback</x:t>
        </x:is>
      </x:c>
      <x:c r="F20" s="23" t="n"/>
      <x:c r="G20" s="23" t="n"/>
      <x:c r="H20" s="23" t="n"/>
      <x:c r="I20" s="23" t="n"/>
      <x:c r="J20" s="23" t="n"/>
      <x:c r="K20" s="23" t="n"/>
      <x:c r="L20" s="10" t="n"/>
      <x:c r="M20" s="14">
        <x:f>IF(AND($A20="Y",$C20&lt;&gt;""),(0.30*$F20+0.20*$G20+0.20*$H20+0.15*$I20+0.15*$J20)*(1-$K20/4),"")</x:f>
      </x:c>
      <x:c r="N20" s="14">
        <x:f>Module_Setup!$D$16</x:f>
        <x:v>3.7999999999999994</x:v>
      </x:c>
      <x:c r="O20" s="14">
        <x:f>IF(OR($A20&lt;&gt;"Y",$M20&lt;=0,$N20&lt;=0),"",Module_Setup!$D$9*$M20/$N20)</x:f>
      </x:c>
      <x:c r="P20" s="14">
        <x:f>Module_Setup!$E$9</x:f>
        <x:v>7</x:v>
      </x:c>
      <x:c r="Q20" s="14">
        <x:f>IF(AND($A20="Y",$L20&lt;&gt;"Y",$P20&gt;0),0.5*$P20,"")</x:f>
      </x:c>
      <x:c r="R20" s="14">
        <x:f>IF($A20&lt;&gt;"Y","",IF($L20="Y",$O20,MIN($O20,$Q20)))</x:f>
      </x:c>
      <x:c r="S20" s="23" t="n"/>
      <x:c r="T20" s="14">
        <x:f>IF($S20="",$R20,$S20)</x:f>
      </x:c>
      <x:c r="U20" s="15">
        <x:f>IF($A20&lt;&gt;"Y","",IF(AND($L20&lt;&gt;"Y",$R20&lt;$O20),"Zak review: capped",IF($K20&gt;2,"Check overlap",IF($I20&lt;2,"Check legal anchor",""))))</x:f>
      </x:c>
      <x:c r="V20" s="10" t="n"/>
    </x:row>
    <x:row r="21" ht="22" customHeight="1">
      <x:c r="A21" s="10" t="inlineStr">
        <x:is>
          <x:t xml:space="preserve">N</x:t>
        </x:is>
      </x:c>
      <x:c r="B21" s="10" t="inlineStr">
        <x:is>
          <x:t xml:space="preserve">Module 3</x:t>
        </x:is>
      </x:c>
      <x:c r="C21" s="10" t="n"/>
      <x:c r="D21" s="10" t="n"/>
      <x:c r="E21" s="10" t="inlineStr">
        <x:is>
          <x:t xml:space="preserve">Fallback</x:t>
        </x:is>
      </x:c>
      <x:c r="F21" s="23" t="n"/>
      <x:c r="G21" s="23" t="n"/>
      <x:c r="H21" s="23" t="n"/>
      <x:c r="I21" s="23" t="n"/>
      <x:c r="J21" s="23" t="n"/>
      <x:c r="K21" s="23" t="n"/>
      <x:c r="L21" s="10" t="n"/>
      <x:c r="M21" s="14">
        <x:f>IF(AND($A21="Y",$C21&lt;&gt;""),(0.30*$F21+0.20*$G21+0.20*$H21+0.15*$I21+0.15*$J21)*(1-$K21/4),"")</x:f>
      </x:c>
      <x:c r="N21" s="14">
        <x:f>Module_Setup!$D$16</x:f>
        <x:v>3.7999999999999994</x:v>
      </x:c>
      <x:c r="O21" s="14">
        <x:f>IF(OR($A21&lt;&gt;"Y",$M21&lt;=0,$N21&lt;=0),"",Module_Setup!$D$9*$M21/$N21)</x:f>
      </x:c>
      <x:c r="P21" s="14">
        <x:f>Module_Setup!$E$9</x:f>
        <x:v>7</x:v>
      </x:c>
      <x:c r="Q21" s="14">
        <x:f>IF(AND($A21="Y",$L21&lt;&gt;"Y",$P21&gt;0),0.5*$P21,"")</x:f>
      </x:c>
      <x:c r="R21" s="14">
        <x:f>IF($A21&lt;&gt;"Y","",IF($L21="Y",$O21,MIN($O21,$Q21)))</x:f>
      </x:c>
      <x:c r="S21" s="23" t="n"/>
      <x:c r="T21" s="14">
        <x:f>IF($S21="",$R21,$S21)</x:f>
      </x:c>
      <x:c r="U21" s="15">
        <x:f>IF($A21&lt;&gt;"Y","",IF(AND($L21&lt;&gt;"Y",$R21&lt;$O21),"Zak review: capped",IF($K21&gt;2,"Check overlap",IF($I21&lt;2,"Check legal anchor",""))))</x:f>
      </x:c>
      <x:c r="V21" s="10" t="n"/>
    </x:row>
    <x:row r="22" ht="22" customHeight="1">
      <x:c r="A22" s="10" t="inlineStr">
        <x:is>
          <x:t xml:space="preserve">N</x:t>
        </x:is>
      </x:c>
      <x:c r="B22" s="10" t="inlineStr">
        <x:is>
          <x:t xml:space="preserve">Module 3</x:t>
        </x:is>
      </x:c>
      <x:c r="C22" s="10" t="n"/>
      <x:c r="D22" s="10" t="n"/>
      <x:c r="E22" s="10" t="inlineStr">
        <x:is>
          <x:t xml:space="preserve">Fallback</x:t>
        </x:is>
      </x:c>
      <x:c r="F22" s="23" t="n"/>
      <x:c r="G22" s="23" t="n"/>
      <x:c r="H22" s="23" t="n"/>
      <x:c r="I22" s="23" t="n"/>
      <x:c r="J22" s="23" t="n"/>
      <x:c r="K22" s="23" t="n"/>
      <x:c r="L22" s="10" t="n"/>
      <x:c r="M22" s="14">
        <x:f>IF(AND($A22="Y",$C22&lt;&gt;""),(0.30*$F22+0.20*$G22+0.20*$H22+0.15*$I22+0.15*$J22)*(1-$K22/4),"")</x:f>
      </x:c>
      <x:c r="N22" s="14">
        <x:f>Module_Setup!$D$16</x:f>
        <x:v>3.7999999999999994</x:v>
      </x:c>
      <x:c r="O22" s="14">
        <x:f>IF(OR($A22&lt;&gt;"Y",$M22&lt;=0,$N22&lt;=0),"",Module_Setup!$D$9*$M22/$N22)</x:f>
      </x:c>
      <x:c r="P22" s="14">
        <x:f>Module_Setup!$E$9</x:f>
        <x:v>7</x:v>
      </x:c>
      <x:c r="Q22" s="14">
        <x:f>IF(AND($A22="Y",$L22&lt;&gt;"Y",$P22&gt;0),0.5*$P22,"")</x:f>
      </x:c>
      <x:c r="R22" s="14">
        <x:f>IF($A22&lt;&gt;"Y","",IF($L22="Y",$O22,MIN($O22,$Q22)))</x:f>
      </x:c>
      <x:c r="S22" s="23" t="n"/>
      <x:c r="T22" s="14">
        <x:f>IF($S22="",$R22,$S22)</x:f>
      </x:c>
      <x:c r="U22" s="15">
        <x:f>IF($A22&lt;&gt;"Y","",IF(AND($L22&lt;&gt;"Y",$R22&lt;$O22),"Zak review: capped",IF($K22&gt;2,"Check overlap",IF($I22&lt;2,"Check legal anchor",""))))</x:f>
      </x:c>
      <x:c r="V22" s="10" t="n"/>
    </x:row>
    <x:row r="23" ht="26" customHeight="1">
      <x:c r="A23" s="19" t="inlineStr">
        <x:is>
          <x:t xml:space="preserve">N</x:t>
        </x:is>
      </x:c>
      <x:c r="B23" s="19" t="inlineStr">
        <x:is>
          <x:t xml:space="preserve">Module 4</x:t>
        </x:is>
      </x:c>
      <x:c r="C23" s="19" t="n"/>
      <x:c r="D23" s="19" t="n"/>
      <x:c r="E23" s="19" t="inlineStr">
        <x:is>
          <x:t xml:space="preserve">Cross-cutting</x:t>
        </x:is>
      </x:c>
      <x:c r="F23" s="20" t="n"/>
      <x:c r="G23" s="20" t="n"/>
      <x:c r="H23" s="20" t="n"/>
      <x:c r="I23" s="20" t="n"/>
      <x:c r="J23" s="20" t="n"/>
      <x:c r="K23" s="20" t="n"/>
      <x:c r="L23" s="19" t="n"/>
      <x:c r="M23" s="21">
        <x:f>IF(AND($A23="Y",$C23&lt;&gt;""),(0.30*$F23+0.20*$G23+0.20*$H23+0.15*$I23+0.15*$J23)*(1-$K23/4),"")</x:f>
      </x:c>
      <x:c r="N23" s="21">
        <x:f>Module_Setup!$D$17</x:f>
        <x:v>3.25</x:v>
      </x:c>
      <x:c r="O23" s="21">
        <x:f>IF(OR($A23&lt;&gt;"Y",$M23&lt;=0,$N23&lt;=0),"",Module_Setup!$D$10*$M23/$N23)</x:f>
      </x:c>
      <x:c r="P23" s="21">
        <x:f>Module_Setup!$E$10</x:f>
        <x:v>5</x:v>
      </x:c>
      <x:c r="Q23" s="21">
        <x:f>IF(AND($A23="Y",$L23&lt;&gt;"Y",$P23&gt;0),0.5*$P23,"")</x:f>
      </x:c>
      <x:c r="R23" s="21">
        <x:f>IF($A23&lt;&gt;"Y","",IF($L23="Y",$O23,MIN($O23,$Q23)))</x:f>
      </x:c>
      <x:c r="S23" s="20" t="n"/>
      <x:c r="T23" s="21">
        <x:f>IF($S23="",$R23,$S23)</x:f>
      </x:c>
      <x:c r="U23" s="22">
        <x:f>IF($A23&lt;&gt;"Y","",IF(AND($L23&lt;&gt;"Y",$R23&lt;$O23),"Zak review: capped",IF($K23&gt;2,"Check overlap",IF($I23&lt;2,"Check legal anchor",""))))</x:f>
      </x:c>
      <x:c r="V23" s="19" t="n"/>
    </x:row>
    <x:row r="24" ht="22" customHeight="1">
      <x:c r="A24" s="10" t="inlineStr">
        <x:is>
          <x:t xml:space="preserve">N</x:t>
        </x:is>
      </x:c>
      <x:c r="B24" s="10" t="inlineStr">
        <x:is>
          <x:t xml:space="preserve">Module 4</x:t>
        </x:is>
      </x:c>
      <x:c r="C24" s="10" t="n"/>
      <x:c r="D24" s="10" t="n"/>
      <x:c r="E24" s="10" t="inlineStr">
        <x:is>
          <x:t xml:space="preserve">Cross-cutting</x:t>
        </x:is>
      </x:c>
      <x:c r="F24" s="23" t="n"/>
      <x:c r="G24" s="23" t="n"/>
      <x:c r="H24" s="23" t="n"/>
      <x:c r="I24" s="23" t="n"/>
      <x:c r="J24" s="23" t="n"/>
      <x:c r="K24" s="23" t="n"/>
      <x:c r="L24" s="10" t="n"/>
      <x:c r="M24" s="14">
        <x:f>IF(AND($A24="Y",$C24&lt;&gt;""),(0.30*$F24+0.20*$G24+0.20*$H24+0.15*$I24+0.15*$J24)*(1-$K24/4),"")</x:f>
      </x:c>
      <x:c r="N24" s="14">
        <x:f>Module_Setup!$D$17</x:f>
        <x:v>3.25</x:v>
      </x:c>
      <x:c r="O24" s="14">
        <x:f>IF(OR($A24&lt;&gt;"Y",$M24&lt;=0,$N24&lt;=0),"",Module_Setup!$D$10*$M24/$N24)</x:f>
      </x:c>
      <x:c r="P24" s="14">
        <x:f>Module_Setup!$E$10</x:f>
        <x:v>5</x:v>
      </x:c>
      <x:c r="Q24" s="14">
        <x:f>IF(AND($A24="Y",$L24&lt;&gt;"Y",$P24&gt;0),0.5*$P24,"")</x:f>
      </x:c>
      <x:c r="R24" s="14">
        <x:f>IF($A24&lt;&gt;"Y","",IF($L24="Y",$O24,MIN($O24,$Q24)))</x:f>
      </x:c>
      <x:c r="S24" s="23" t="n"/>
      <x:c r="T24" s="14">
        <x:f>IF($S24="",$R24,$S24)</x:f>
      </x:c>
      <x:c r="U24" s="15">
        <x:f>IF($A24&lt;&gt;"Y","",IF(AND($L24&lt;&gt;"Y",$R24&lt;$O24),"Zak review: capped",IF($K24&gt;2,"Check overlap",IF($I24&lt;2,"Check legal anchor",""))))</x:f>
      </x:c>
      <x:c r="V24" s="10" t="n"/>
    </x:row>
    <x:row r="25" ht="22" customHeight="1">
      <x:c r="A25" s="10" t="inlineStr">
        <x:is>
          <x:t xml:space="preserve">N</x:t>
        </x:is>
      </x:c>
      <x:c r="B25" s="10" t="inlineStr">
        <x:is>
          <x:t xml:space="preserve">Module 4</x:t>
        </x:is>
      </x:c>
      <x:c r="C25" s="10" t="n"/>
      <x:c r="D25" s="10" t="n"/>
      <x:c r="E25" s="10" t="inlineStr">
        <x:is>
          <x:t xml:space="preserve">Cross-cutting</x:t>
        </x:is>
      </x:c>
      <x:c r="F25" s="23" t="n"/>
      <x:c r="G25" s="23" t="n"/>
      <x:c r="H25" s="23" t="n"/>
      <x:c r="I25" s="23" t="n"/>
      <x:c r="J25" s="23" t="n"/>
      <x:c r="K25" s="23" t="n"/>
      <x:c r="L25" s="10" t="n"/>
      <x:c r="M25" s="14">
        <x:f>IF(AND($A25="Y",$C25&lt;&gt;""),(0.30*$F25+0.20*$G25+0.20*$H25+0.15*$I25+0.15*$J25)*(1-$K25/4),"")</x:f>
      </x:c>
      <x:c r="N25" s="14">
        <x:f>Module_Setup!$D$17</x:f>
        <x:v>3.25</x:v>
      </x:c>
      <x:c r="O25" s="14">
        <x:f>IF(OR($A25&lt;&gt;"Y",$M25&lt;=0,$N25&lt;=0),"",Module_Setup!$D$10*$M25/$N25)</x:f>
      </x:c>
      <x:c r="P25" s="14">
        <x:f>Module_Setup!$E$10</x:f>
        <x:v>5</x:v>
      </x:c>
      <x:c r="Q25" s="14">
        <x:f>IF(AND($A25="Y",$L25&lt;&gt;"Y",$P25&gt;0),0.5*$P25,"")</x:f>
      </x:c>
      <x:c r="R25" s="14">
        <x:f>IF($A25&lt;&gt;"Y","",IF($L25="Y",$O25,MIN($O25,$Q25)))</x:f>
      </x:c>
      <x:c r="S25" s="23" t="n"/>
      <x:c r="T25" s="14">
        <x:f>IF($S25="",$R25,$S25)</x:f>
      </x:c>
      <x:c r="U25" s="15">
        <x:f>IF($A25&lt;&gt;"Y","",IF(AND($L25&lt;&gt;"Y",$R25&lt;$O25),"Zak review: capped",IF($K25&gt;2,"Check overlap",IF($I25&lt;2,"Check legal anchor",""))))</x:f>
      </x:c>
      <x:c r="V25" s="10" t="n"/>
    </x:row>
    <x:row r="26" ht="22" customHeight="1">
      <x:c r="A26" s="10" t="inlineStr">
        <x:is>
          <x:t xml:space="preserve">N</x:t>
        </x:is>
      </x:c>
      <x:c r="B26" s="10" t="inlineStr">
        <x:is>
          <x:t xml:space="preserve">Module 4</x:t>
        </x:is>
      </x:c>
      <x:c r="C26" s="10" t="n"/>
      <x:c r="D26" s="10" t="n"/>
      <x:c r="E26" s="10" t="inlineStr">
        <x:is>
          <x:t xml:space="preserve">Cross-cutting</x:t>
        </x:is>
      </x:c>
      <x:c r="F26" s="23" t="n"/>
      <x:c r="G26" s="23" t="n"/>
      <x:c r="H26" s="23" t="n"/>
      <x:c r="I26" s="23" t="n"/>
      <x:c r="J26" s="23" t="n"/>
      <x:c r="K26" s="23" t="n"/>
      <x:c r="L26" s="10" t="n"/>
      <x:c r="M26" s="14">
        <x:f>IF(AND($A26="Y",$C26&lt;&gt;""),(0.30*$F26+0.20*$G26+0.20*$H26+0.15*$I26+0.15*$J26)*(1-$K26/4),"")</x:f>
      </x:c>
      <x:c r="N26" s="14">
        <x:f>Module_Setup!$D$17</x:f>
        <x:v>3.25</x:v>
      </x:c>
      <x:c r="O26" s="14">
        <x:f>IF(OR($A26&lt;&gt;"Y",$M26&lt;=0,$N26&lt;=0),"",Module_Setup!$D$10*$M26/$N26)</x:f>
      </x:c>
      <x:c r="P26" s="14">
        <x:f>Module_Setup!$E$10</x:f>
        <x:v>5</x:v>
      </x:c>
      <x:c r="Q26" s="14">
        <x:f>IF(AND($A26="Y",$L26&lt;&gt;"Y",$P26&gt;0),0.5*$P26,"")</x:f>
      </x:c>
      <x:c r="R26" s="14">
        <x:f>IF($A26&lt;&gt;"Y","",IF($L26="Y",$O26,MIN($O26,$Q26)))</x:f>
      </x:c>
      <x:c r="S26" s="23" t="n"/>
      <x:c r="T26" s="14">
        <x:f>IF($S26="",$R26,$S26)</x:f>
      </x:c>
      <x:c r="U26" s="15">
        <x:f>IF($A26&lt;&gt;"Y","",IF(AND($L26&lt;&gt;"Y",$R26&lt;$O26),"Zak review: capped",IF($K26&gt;2,"Check overlap",IF($I26&lt;2,"Check legal anchor",""))))</x:f>
      </x:c>
      <x:c r="V26" s="10" t="n"/>
    </x:row>
    <x:row r="27" ht="22" customHeight="1">
      <x:c r="A27" s="10" t="inlineStr">
        <x:is>
          <x:t xml:space="preserve">N</x:t>
        </x:is>
      </x:c>
      <x:c r="B27" s="10" t="inlineStr">
        <x:is>
          <x:t xml:space="preserve">Module 4</x:t>
        </x:is>
      </x:c>
      <x:c r="C27" s="10" t="n"/>
      <x:c r="D27" s="10" t="n"/>
      <x:c r="E27" s="10" t="inlineStr">
        <x:is>
          <x:t xml:space="preserve">Cross-cutting</x:t>
        </x:is>
      </x:c>
      <x:c r="F27" s="23" t="n"/>
      <x:c r="G27" s="23" t="n"/>
      <x:c r="H27" s="23" t="n"/>
      <x:c r="I27" s="23" t="n"/>
      <x:c r="J27" s="23" t="n"/>
      <x:c r="K27" s="23" t="n"/>
      <x:c r="L27" s="10" t="n"/>
      <x:c r="M27" s="14">
        <x:f>IF(AND($A27="Y",$C27&lt;&gt;""),(0.30*$F27+0.20*$G27+0.20*$H27+0.15*$I27+0.15*$J27)*(1-$K27/4),"")</x:f>
      </x:c>
      <x:c r="N27" s="14">
        <x:f>Module_Setup!$D$17</x:f>
        <x:v>3.25</x:v>
      </x:c>
      <x:c r="O27" s="14">
        <x:f>IF(OR($A27&lt;&gt;"Y",$M27&lt;=0,$N27&lt;=0),"",Module_Setup!$D$10*$M27/$N27)</x:f>
      </x:c>
      <x:c r="P27" s="14">
        <x:f>Module_Setup!$E$10</x:f>
        <x:v>5</x:v>
      </x:c>
      <x:c r="Q27" s="14">
        <x:f>IF(AND($A27="Y",$L27&lt;&gt;"Y",$P27&gt;0),0.5*$P27,"")</x:f>
      </x:c>
      <x:c r="R27" s="14">
        <x:f>IF($A27&lt;&gt;"Y","",IF($L27="Y",$O27,MIN($O27,$Q27)))</x:f>
      </x:c>
      <x:c r="S27" s="23" t="n"/>
      <x:c r="T27" s="14">
        <x:f>IF($S27="",$R27,$S27)</x:f>
      </x:c>
      <x:c r="U27" s="15">
        <x:f>IF($A27&lt;&gt;"Y","",IF(AND($L27&lt;&gt;"Y",$R27&lt;$O27),"Zak review: capped",IF($K27&gt;2,"Check overlap",IF($I27&lt;2,"Check legal anchor",""))))</x:f>
      </x:c>
      <x:c r="V27" s="10" t="n"/>
    </x:row>
    <x:row r="28" ht="22" customHeight="1">
      <x:c r="A28" s="10" t="inlineStr">
        <x:is>
          <x:t xml:space="preserve">N</x:t>
        </x:is>
      </x:c>
      <x:c r="B28" s="10" t="inlineStr">
        <x:is>
          <x:t xml:space="preserve">Module 4</x:t>
        </x:is>
      </x:c>
      <x:c r="C28" s="10" t="n"/>
      <x:c r="D28" s="10" t="n"/>
      <x:c r="E28" s="10" t="inlineStr">
        <x:is>
          <x:t xml:space="preserve">Cross-cutting</x:t>
        </x:is>
      </x:c>
      <x:c r="F28" s="23" t="n"/>
      <x:c r="G28" s="23" t="n"/>
      <x:c r="H28" s="23" t="n"/>
      <x:c r="I28" s="23" t="n"/>
      <x:c r="J28" s="23" t="n"/>
      <x:c r="K28" s="23" t="n"/>
      <x:c r="L28" s="10" t="n"/>
      <x:c r="M28" s="14">
        <x:f>IF(AND($A28="Y",$C28&lt;&gt;""),(0.30*$F28+0.20*$G28+0.20*$H28+0.15*$I28+0.15*$J28)*(1-$K28/4),"")</x:f>
      </x:c>
      <x:c r="N28" s="14">
        <x:f>Module_Setup!$D$17</x:f>
        <x:v>3.25</x:v>
      </x:c>
      <x:c r="O28" s="14">
        <x:f>IF(OR($A28&lt;&gt;"Y",$M28&lt;=0,$N28&lt;=0),"",Module_Setup!$D$10*$M28/$N28)</x:f>
      </x:c>
      <x:c r="P28" s="14">
        <x:f>Module_Setup!$E$10</x:f>
        <x:v>5</x:v>
      </x:c>
      <x:c r="Q28" s="14">
        <x:f>IF(AND($A28="Y",$L28&lt;&gt;"Y",$P28&gt;0),0.5*$P28,"")</x:f>
      </x:c>
      <x:c r="R28" s="14">
        <x:f>IF($A28&lt;&gt;"Y","",IF($L28="Y",$O28,MIN($O28,$Q28)))</x:f>
      </x:c>
      <x:c r="S28" s="23" t="n"/>
      <x:c r="T28" s="14">
        <x:f>IF($S28="",$R28,$S28)</x:f>
      </x:c>
      <x:c r="U28" s="15">
        <x:f>IF($A28&lt;&gt;"Y","",IF(AND($L28&lt;&gt;"Y",$R28&lt;$O28),"Zak review: capped",IF($K28&gt;2,"Check overlap",IF($I28&lt;2,"Check legal anchor",""))))</x:f>
      </x:c>
      <x:c r="V28" s="10" t="n"/>
    </x:row>
  </x:sheetData>
  <x:mergeCells>
    <x:mergeCell ref="A2:V2"/>
    <x:mergeCell ref="A1:V1"/>
  </x:mergeCells>
  <x:dataValidations count="3">
    <x:dataValidation type="list" allowBlank="1" showDropDown="0" showInputMessage="0" showErrorMessage="0" sqref="A4:A28 L4:L28">
      <x:formula1>"Y,N"</x:formula1>
    </x:dataValidation>
    <x:dataValidation type="list" allowBlank="1" showDropDown="0" showInputMessage="0" showErrorMessage="0" sqref="E4:E28">
      <x:formula1>"Controlling,Secondary,Fallback,Cross-cutting"</x:formula1>
    </x:dataValidation>
    <x:dataValidation type="decimal" operator="between" allowBlank="1" showDropDown="0" showInputMessage="0" showErrorMessage="0" sqref="F4:K28 S4:S28">
      <x:formula1>0</x:formula1>
      <x:formula2>4</x:formula2>
    </x:dataValidation>
  </x:dataValidations>
  <x:pageMargins left="0.7" right="0.7" top="0.75" bottom="0.75" header="0.3" footer="0.3"/>
  <x:legacyDrawing xmlns:r="http://schemas.openxmlformats.org/officeDocument/2006/relationships" r:id="R3e4afb5bf2a24c93"/>
</x:worksheet>
</file>

<file path=xl/worksheets/sheet6.xml><?xml version="1.0" encoding="utf-8"?>
<x:worksheet xmlns:x="http://schemas.openxmlformats.org/spreadsheetml/2006/main">
  <x:sheetFormatPr baseColWidth="8" defaultRowHeight="15"/>
  <x:cols>
    <x:col min="1" max="1" width="12" customWidth="1"/>
    <x:col min="2" max="2" width="12" customWidth="1"/>
    <x:col min="3" max="3" width="11" customWidth="1"/>
    <x:col min="4" max="4" width="12" customWidth="1"/>
    <x:col min="5" max="5" width="52" customWidth="1"/>
    <x:col min="6" max="6" width="12" customWidth="1"/>
    <x:col min="7" max="7" width="11" customWidth="1"/>
    <x:col min="8" max="8" width="12" customWidth="1"/>
    <x:col min="9" max="9" width="14" customWidth="1"/>
    <x:col min="10" max="10" width="24" customWidth="1"/>
    <x:col min="11" max="11" width="24" customWidth="1"/>
    <x:col min="12" max="12" width="28" customWidth="1"/>
  </x:cols>
  <x:sheetData>
    <x:row r="1" ht="26" customHeight="1">
      <x:c r="A1" s="1" t="inlineStr">
        <x:is>
          <x:t xml:space="preserve">Row scoring (single answer / centroid)</x:t>
        </x:is>
      </x:c>
    </x:row>
    <x:row r="2" ht="22" customHeight="1"/>
    <x:row r="3" ht="22" customHeight="1">
      <x:c r="A3" s="24" t="inlineStr">
        <x:is>
          <x:t xml:space="preserve">Enter 0–4 only in the blue score cells. Locked weights pull from the weighting sheets.</x:t>
        </x:is>
      </x:c>
      <x:c r="B3" s="3" t="n"/>
      <x:c r="C3" s="3" t="n"/>
      <x:c r="D3" s="3" t="n"/>
      <x:c r="E3" s="3" t="n"/>
      <x:c r="F3" s="3" t="n"/>
      <x:c r="G3" s="3" t="n"/>
      <x:c r="H3" s="3" t="n"/>
      <x:c r="I3" s="3" t="n"/>
      <x:c r="J3" s="3" t="n"/>
      <x:c r="K3" s="3" t="n"/>
      <x:c r="L3" s="3" t="n"/>
    </x:row>
    <x:row r="4" ht="22" customHeight="1">
      <x:c r="A4" s="11" t="inlineStr">
        <x:is>
          <x:t xml:space="preserve">Row source</x:t>
        </x:is>
      </x:c>
      <x:c r="B4" s="11" t="inlineStr">
        <x:is>
          <x:t xml:space="preserve">Include?</x:t>
        </x:is>
      </x:c>
      <x:c r="C4" s="11" t="inlineStr">
        <x:is>
          <x:t xml:space="preserve">Module</x:t>
        </x:is>
      </x:c>
      <x:c r="D4" s="11" t="inlineStr">
        <x:is>
          <x:t xml:space="preserve">Row Code</x:t>
        </x:is>
      </x:c>
      <x:c r="E4" s="11" t="inlineStr">
        <x:is>
          <x:t xml:space="preserve">Row Label</x:t>
        </x:is>
      </x:c>
      <x:c r="F4" s="11" t="inlineStr">
        <x:is>
          <x:t xml:space="preserve">Role</x:t>
        </x:is>
      </x:c>
      <x:c r="G4" s="11" t="inlineStr">
        <x:is>
          <x:t xml:space="preserve">Locked Weight</x:t>
        </x:is>
      </x:c>
      <x:c r="H4" s="11" t="inlineStr">
        <x:is>
          <x:t xml:space="preserve">Row Score (0–4)</x:t>
        </x:is>
      </x:c>
      <x:c r="I4" s="11" t="inlineStr">
        <x:is>
          <x:t xml:space="preserve">Weighted Contribution</x:t>
        </x:is>
      </x:c>
      <x:c r="J4" s="11" t="inlineStr">
        <x:is>
          <x:t xml:space="preserve">Primary Failure Tag</x:t>
        </x:is>
      </x:c>
      <x:c r="K4" s="11" t="inlineStr">
        <x:is>
          <x:t xml:space="preserve">Secondary Tags</x:t>
        </x:is>
      </x:c>
      <x:c r="L4" s="11" t="inlineStr">
        <x:is>
          <x:t xml:space="preserve">Notes</x:t>
        </x:is>
      </x:c>
    </x:row>
    <x:row r="5" ht="30" customHeight="1">
      <x:c r="A5" s="6" t="inlineStr">
        <x:is>
          <x:t xml:space="preserve">Anchor</x:t>
        </x:is>
      </x:c>
      <x:c r="B5" s="6" t="str">
        <x:f>Anchor_Rows!A4</x:f>
        <x:v>Y</x:v>
      </x:c>
      <x:c r="C5" s="6" t="str">
        <x:f>Anchor_Rows!B4</x:f>
        <x:v>Module 1</x:v>
      </x:c>
      <x:c r="D5" s="6" t="str">
        <x:f>IF(Anchor_Rows!C4="","",Anchor_Rows!C4)</x:f>
        <x:v>A</x:v>
      </x:c>
      <x:c r="E5" s="6" t="str">
        <x:f>IF(Anchor_Rows!D4="","",Anchor_Rows!D4)</x:f>
        <x:v>Issue spotting + prioritization</x:v>
      </x:c>
      <x:c r="F5" s="6" t="str">
        <x:f>Anchor_Rows!E4</x:f>
        <x:v>Secondary</x:v>
      </x:c>
      <x:c r="G5" s="6">
        <x:f>IF(Anchor_Rows!C4="","",Anchor_Rows!O4)</x:f>
        <x:v>15.000000000000002</x:v>
      </x:c>
      <x:c r="H5" s="20" t="n"/>
      <x:c r="I5" s="6">
        <x:f>IF(OR($B5&lt;&gt;"Y",$H5="",$G5=""),"",ROUND($G5*$H5/4,2))</x:f>
      </x:c>
      <x:c r="J5" s="20" t="n"/>
      <x:c r="K5" s="20" t="n"/>
      <x:c r="L5" s="20" t="n"/>
    </x:row>
    <x:row r="6" ht="30" customHeight="1">
      <x:c r="A6" s="6" t="inlineStr">
        <x:is>
          <x:t xml:space="preserve">Anchor</x:t>
        </x:is>
      </x:c>
      <x:c r="B6" s="6" t="str">
        <x:f>Anchor_Rows!A5</x:f>
        <x:v>Y</x:v>
      </x:c>
      <x:c r="C6" s="6" t="str">
        <x:f>Anchor_Rows!B5</x:f>
        <x:v>Module 1</x:v>
      </x:c>
      <x:c r="D6" s="6" t="str">
        <x:f>IF(Anchor_Rows!C5="","",Anchor_Rows!C5)</x:f>
        <x:v>K</x:v>
      </x:c>
      <x:c r="E6" s="6" t="str">
        <x:f>IF(Anchor_Rows!D5="","",Anchor_Rows!D5)</x:f>
        <x:v>Barrier stacking + exception mapping</x:v>
      </x:c>
      <x:c r="F6" s="6" t="str">
        <x:f>Anchor_Rows!E5</x:f>
        <x:v>Secondary</x:v>
      </x:c>
      <x:c r="G6" s="6">
        <x:f>IF(Anchor_Rows!C5="","",Anchor_Rows!O5)</x:f>
        <x:v>8.000000000000002</x:v>
      </x:c>
      <x:c r="H6" s="20" t="n"/>
      <x:c r="I6" s="6">
        <x:f>IF(OR($B6&lt;&gt;"Y",$H6="",$G6=""),"",ROUND($G6*$H6/4,2))</x:f>
      </x:c>
      <x:c r="J6" s="20" t="n"/>
      <x:c r="K6" s="20" t="n"/>
      <x:c r="L6" s="20" t="n"/>
    </x:row>
    <x:row r="7" ht="30" customHeight="1">
      <x:c r="A7" s="6" t="inlineStr">
        <x:is>
          <x:t xml:space="preserve">Anchor</x:t>
        </x:is>
      </x:c>
      <x:c r="B7" s="6" t="str">
        <x:f>Anchor_Rows!A6</x:f>
        <x:v>Y</x:v>
      </x:c>
      <x:c r="C7" s="6" t="str">
        <x:f>Anchor_Rows!B6</x:f>
        <x:v>Module 1</x:v>
      </x:c>
      <x:c r="D7" s="6" t="str">
        <x:f>IF(Anchor_Rows!C6="","",Anchor_Rows!C6)</x:f>
        <x:v>J</x:v>
      </x:c>
      <x:c r="E7" s="6" t="str">
        <x:f>IF(Anchor_Rows!D6="","",Anchor_Rows!D6)</x:f>
        <x:v>Clear bottom line + structured reasoning</x:v>
      </x:c>
      <x:c r="F7" s="6" t="str">
        <x:f>Anchor_Rows!E6</x:f>
        <x:v>Secondary</x:v>
      </x:c>
      <x:c r="G7" s="6">
        <x:f>IF(Anchor_Rows!C6="","",Anchor_Rows!O6)</x:f>
        <x:v>5</x:v>
      </x:c>
      <x:c r="H7" s="20" t="n"/>
      <x:c r="I7" s="6">
        <x:f>IF(OR($B7&lt;&gt;"Y",$H7="",$G7=""),"",ROUND($G7*$H7/4,2))</x:f>
      </x:c>
      <x:c r="J7" s="20" t="n"/>
      <x:c r="K7" s="20" t="n"/>
      <x:c r="L7" s="20" t="n"/>
    </x:row>
    <x:row r="8" ht="30" customHeight="1">
      <x:c r="A8" s="6" t="inlineStr">
        <x:is>
          <x:t xml:space="preserve">Anchor</x:t>
        </x:is>
      </x:c>
      <x:c r="B8" s="6" t="str">
        <x:f>Anchor_Rows!A7</x:f>
        <x:v>N</x:v>
      </x:c>
      <x:c r="C8" s="6" t="str">
        <x:f>Anchor_Rows!B7</x:f>
        <x:v>Module 1</x:v>
      </x:c>
      <x:c r="D8" s="6">
        <x:f>IF(Anchor_Rows!C7="","",Anchor_Rows!C7)</x:f>
      </x:c>
      <x:c r="E8" s="6">
        <x:f>IF(Anchor_Rows!D7="","",Anchor_Rows!D7)</x:f>
      </x:c>
      <x:c r="F8" s="6" t="str">
        <x:f>Anchor_Rows!E7</x:f>
        <x:v>Secondary</x:v>
      </x:c>
      <x:c r="G8" s="6">
        <x:f>IF(Anchor_Rows!C7="","",Anchor_Rows!O7)</x:f>
      </x:c>
      <x:c r="H8" s="20" t="n"/>
      <x:c r="I8" s="6">
        <x:f>IF(OR($B8&lt;&gt;"Y",$H8="",$G8=""),"",ROUND($G8*$H8/4,2))</x:f>
      </x:c>
      <x:c r="J8" s="20" t="n"/>
      <x:c r="K8" s="20" t="n"/>
      <x:c r="L8" s="20" t="n"/>
    </x:row>
    <x:row r="9" ht="30" customHeight="1">
      <x:c r="A9" s="6" t="inlineStr">
        <x:is>
          <x:t xml:space="preserve">Anchor</x:t>
        </x:is>
      </x:c>
      <x:c r="B9" s="6" t="str">
        <x:f>Anchor_Rows!A8</x:f>
        <x:v>N</x:v>
      </x:c>
      <x:c r="C9" s="6" t="str">
        <x:f>Anchor_Rows!B8</x:f>
        <x:v>Module 1</x:v>
      </x:c>
      <x:c r="D9" s="6">
        <x:f>IF(Anchor_Rows!C8="","",Anchor_Rows!C8)</x:f>
      </x:c>
      <x:c r="E9" s="6">
        <x:f>IF(Anchor_Rows!D8="","",Anchor_Rows!D8)</x:f>
      </x:c>
      <x:c r="F9" s="6" t="str">
        <x:f>Anchor_Rows!E8</x:f>
        <x:v>Secondary</x:v>
      </x:c>
      <x:c r="G9" s="6">
        <x:f>IF(Anchor_Rows!C8="","",Anchor_Rows!O8)</x:f>
      </x:c>
      <x:c r="H9" s="20" t="n"/>
      <x:c r="I9" s="6">
        <x:f>IF(OR($B9&lt;&gt;"Y",$H9="",$G9=""),"",ROUND($G9*$H9/4,2))</x:f>
      </x:c>
      <x:c r="J9" s="20" t="n"/>
      <x:c r="K9" s="20" t="n"/>
      <x:c r="L9" s="20" t="n"/>
    </x:row>
    <x:row r="10" ht="30" customHeight="1">
      <x:c r="A10" s="6" t="inlineStr">
        <x:is>
          <x:t xml:space="preserve">Anchor</x:t>
        </x:is>
      </x:c>
      <x:c r="B10" s="6" t="str">
        <x:f>Anchor_Rows!A9</x:f>
        <x:v>N</x:v>
      </x:c>
      <x:c r="C10" s="6" t="str">
        <x:f>Anchor_Rows!B9</x:f>
        <x:v>Module 1</x:v>
      </x:c>
      <x:c r="D10" s="6">
        <x:f>IF(Anchor_Rows!C9="","",Anchor_Rows!C9)</x:f>
      </x:c>
      <x:c r="E10" s="6">
        <x:f>IF(Anchor_Rows!D9="","",Anchor_Rows!D9)</x:f>
      </x:c>
      <x:c r="F10" s="6" t="str">
        <x:f>Anchor_Rows!E9</x:f>
        <x:v>Secondary</x:v>
      </x:c>
      <x:c r="G10" s="6">
        <x:f>IF(Anchor_Rows!C9="","",Anchor_Rows!O9)</x:f>
      </x:c>
      <x:c r="H10" s="20" t="n"/>
      <x:c r="I10" s="6">
        <x:f>IF(OR($B10&lt;&gt;"Y",$H10="",$G10=""),"",ROUND($G10*$H10/4,2))</x:f>
      </x:c>
      <x:c r="J10" s="20" t="n"/>
      <x:c r="K10" s="20" t="n"/>
      <x:c r="L10" s="20" t="n"/>
    </x:row>
    <x:row r="11" ht="30" customHeight="1">
      <x:c r="A11" s="6" t="inlineStr">
        <x:is>
          <x:t xml:space="preserve">Anchor</x:t>
        </x:is>
      </x:c>
      <x:c r="B11" s="6" t="str">
        <x:f>Anchor_Rows!A10</x:f>
        <x:v>N</x:v>
      </x:c>
      <x:c r="C11" s="6" t="str">
        <x:f>Anchor_Rows!B10</x:f>
        <x:v>Module 1</x:v>
      </x:c>
      <x:c r="D11" s="6">
        <x:f>IF(Anchor_Rows!C10="","",Anchor_Rows!C10)</x:f>
      </x:c>
      <x:c r="E11" s="6">
        <x:f>IF(Anchor_Rows!D10="","",Anchor_Rows!D10)</x:f>
      </x:c>
      <x:c r="F11" s="6" t="str">
        <x:f>Anchor_Rows!E10</x:f>
        <x:v>Secondary</x:v>
      </x:c>
      <x:c r="G11" s="6">
        <x:f>IF(Anchor_Rows!C10="","",Anchor_Rows!O10)</x:f>
      </x:c>
      <x:c r="H11" s="20" t="n"/>
      <x:c r="I11" s="6">
        <x:f>IF(OR($B11&lt;&gt;"Y",$H11="",$G11=""),"",ROUND($G11*$H11/4,2))</x:f>
      </x:c>
      <x:c r="J11" s="20" t="n"/>
      <x:c r="K11" s="20" t="n"/>
      <x:c r="L11" s="20" t="n"/>
    </x:row>
    <x:row r="12" ht="30" customHeight="1">
      <x:c r="A12" s="6" t="inlineStr">
        <x:is>
          <x:t xml:space="preserve">Anchor</x:t>
        </x:is>
      </x:c>
      <x:c r="B12" s="6" t="str">
        <x:f>Anchor_Rows!A11</x:f>
        <x:v>Y</x:v>
      </x:c>
      <x:c r="C12" s="6" t="str">
        <x:f>Anchor_Rows!B11</x:f>
        <x:v>Module 2</x:v>
      </x:c>
      <x:c r="D12" s="6" t="str">
        <x:f>IF(Anchor_Rows!C11="","",Anchor_Rows!C11)</x:f>
        <x:v>B</x:v>
      </x:c>
      <x:c r="E12" s="6" t="str">
        <x:f>IF(Anchor_Rows!D11="","",Anchor_Rows!D11)</x:f>
        <x:v>Transaction / formation characterization</x:v>
      </x:c>
      <x:c r="F12" s="6" t="str">
        <x:f>Anchor_Rows!E11</x:f>
        <x:v>Secondary</x:v>
      </x:c>
      <x:c r="G12" s="6">
        <x:f>IF(Anchor_Rows!C11="","",Anchor_Rows!O11)</x:f>
        <x:v>11</x:v>
      </x:c>
      <x:c r="H12" s="20" t="n"/>
      <x:c r="I12" s="6">
        <x:f>IF(OR($B12&lt;&gt;"Y",$H12="",$G12=""),"",ROUND($G12*$H12/4,2))</x:f>
      </x:c>
      <x:c r="J12" s="20" t="n"/>
      <x:c r="K12" s="20" t="n"/>
      <x:c r="L12" s="20" t="n"/>
    </x:row>
    <x:row r="13" ht="30" customHeight="1">
      <x:c r="A13" s="6" t="inlineStr">
        <x:is>
          <x:t xml:space="preserve">Anchor</x:t>
        </x:is>
      </x:c>
      <x:c r="B13" s="6" t="str">
        <x:f>Anchor_Rows!A12</x:f>
        <x:v>Y</x:v>
      </x:c>
      <x:c r="C13" s="6" t="str">
        <x:f>Anchor_Rows!B12</x:f>
        <x:v>Module 2</x:v>
      </x:c>
      <x:c r="D13" s="6" t="str">
        <x:f>IF(Anchor_Rows!C12="","",Anchor_Rows!C12)</x:f>
        <x:v>C</x:v>
      </x:c>
      <x:c r="E13" s="6" t="str">
        <x:f>IF(Anchor_Rows!D12="","",Anchor_Rows!D12)</x:f>
        <x:v>Controlling doctrine gate identification + correct trigger</x:v>
      </x:c>
      <x:c r="F13" s="6" t="str">
        <x:f>Anchor_Rows!E12</x:f>
        <x:v>Controlling</x:v>
      </x:c>
      <x:c r="G13" s="6">
        <x:f>IF(Anchor_Rows!C12="","",Anchor_Rows!O12)</x:f>
        <x:v>15</x:v>
      </x:c>
      <x:c r="H13" s="20" t="n"/>
      <x:c r="I13" s="6">
        <x:f>IF(OR($B13&lt;&gt;"Y",$H13="",$G13=""),"",ROUND($G13*$H13/4,2))</x:f>
      </x:c>
      <x:c r="J13" s="20" t="n"/>
      <x:c r="K13" s="20" t="n"/>
      <x:c r="L13" s="20" t="n"/>
    </x:row>
    <x:row r="14" ht="30" customHeight="1">
      <x:c r="A14" s="6" t="inlineStr">
        <x:is>
          <x:t xml:space="preserve">Anchor</x:t>
        </x:is>
      </x:c>
      <x:c r="B14" s="6" t="str">
        <x:f>Anchor_Rows!A13</x:f>
        <x:v>Y</x:v>
      </x:c>
      <x:c r="C14" s="6" t="str">
        <x:f>Anchor_Rows!B13</x:f>
        <x:v>Module 2</x:v>
      </x:c>
      <x:c r="D14" s="6" t="str">
        <x:f>IF(Anchor_Rows!C13="","",Anchor_Rows!C13)</x:f>
        <x:v>D</x:v>
      </x:c>
      <x:c r="E14" s="6" t="str">
        <x:f>IF(Anchor_Rows!D13="","",Anchor_Rows!D13)</x:f>
        <x:v>Secondary gate or major subissue #1</x:v>
      </x:c>
      <x:c r="F14" s="6" t="str">
        <x:f>Anchor_Rows!E13</x:f>
        <x:v>Secondary</x:v>
      </x:c>
      <x:c r="G14" s="6">
        <x:f>IF(Anchor_Rows!C13="","",Anchor_Rows!O13)</x:f>
        <x:v>5</x:v>
      </x:c>
      <x:c r="H14" s="20" t="n"/>
      <x:c r="I14" s="6">
        <x:f>IF(OR($B14&lt;&gt;"Y",$H14="",$G14=""),"",ROUND($G14*$H14/4,2))</x:f>
      </x:c>
      <x:c r="J14" s="20" t="n"/>
      <x:c r="K14" s="20" t="n"/>
      <x:c r="L14" s="20" t="n"/>
    </x:row>
    <x:row r="15" ht="30" customHeight="1">
      <x:c r="A15" s="6" t="inlineStr">
        <x:is>
          <x:t xml:space="preserve">Anchor</x:t>
        </x:is>
      </x:c>
      <x:c r="B15" s="6" t="str">
        <x:f>Anchor_Rows!A14</x:f>
        <x:v>Y</x:v>
      </x:c>
      <x:c r="C15" s="6" t="str">
        <x:f>Anchor_Rows!B14</x:f>
        <x:v>Module 2</x:v>
      </x:c>
      <x:c r="D15" s="6" t="str">
        <x:f>IF(Anchor_Rows!C14="","",Anchor_Rows!C14)</x:f>
        <x:v>E</x:v>
      </x:c>
      <x:c r="E15" s="6" t="str">
        <x:f>IF(Anchor_Rows!D14="","",Anchor_Rows!D14)</x:f>
        <x:v>Secondary gate or major subissue #2 / doctrinal nuance</x:v>
      </x:c>
      <x:c r="F15" s="6" t="str">
        <x:f>Anchor_Rows!E14</x:f>
        <x:v>Secondary</x:v>
      </x:c>
      <x:c r="G15" s="6">
        <x:f>IF(Anchor_Rows!C14="","",Anchor_Rows!O14)</x:f>
        <x:v>9</x:v>
      </x:c>
      <x:c r="H15" s="20" t="n"/>
      <x:c r="I15" s="6">
        <x:f>IF(OR($B15&lt;&gt;"Y",$H15="",$G15=""),"",ROUND($G15*$H15/4,2))</x:f>
      </x:c>
      <x:c r="J15" s="20" t="n"/>
      <x:c r="K15" s="20" t="n"/>
      <x:c r="L15" s="20" t="n"/>
    </x:row>
    <x:row r="16" ht="30" customHeight="1">
      <x:c r="A16" s="6" t="inlineStr">
        <x:is>
          <x:t xml:space="preserve">Anchor</x:t>
        </x:is>
      </x:c>
      <x:c r="B16" s="6" t="str">
        <x:f>Anchor_Rows!A15</x:f>
        <x:v>N</x:v>
      </x:c>
      <x:c r="C16" s="6" t="str">
        <x:f>Anchor_Rows!B15</x:f>
        <x:v>Module 2</x:v>
      </x:c>
      <x:c r="D16" s="6">
        <x:f>IF(Anchor_Rows!C15="","",Anchor_Rows!C15)</x:f>
      </x:c>
      <x:c r="E16" s="6">
        <x:f>IF(Anchor_Rows!D15="","",Anchor_Rows!D15)</x:f>
      </x:c>
      <x:c r="F16" s="6" t="str">
        <x:f>Anchor_Rows!E15</x:f>
        <x:v>Secondary</x:v>
      </x:c>
      <x:c r="G16" s="6">
        <x:f>IF(Anchor_Rows!C15="","",Anchor_Rows!O15)</x:f>
      </x:c>
      <x:c r="H16" s="20" t="n"/>
      <x:c r="I16" s="6">
        <x:f>IF(OR($B16&lt;&gt;"Y",$H16="",$G16=""),"",ROUND($G16*$H16/4,2))</x:f>
      </x:c>
      <x:c r="J16" s="20" t="n"/>
      <x:c r="K16" s="20" t="n"/>
      <x:c r="L16" s="20" t="n"/>
    </x:row>
    <x:row r="17" ht="30" customHeight="1">
      <x:c r="A17" s="6" t="inlineStr">
        <x:is>
          <x:t xml:space="preserve">Anchor</x:t>
        </x:is>
      </x:c>
      <x:c r="B17" s="6" t="str">
        <x:f>Anchor_Rows!A16</x:f>
        <x:v>N</x:v>
      </x:c>
      <x:c r="C17" s="6" t="str">
        <x:f>Anchor_Rows!B16</x:f>
        <x:v>Module 2</x:v>
      </x:c>
      <x:c r="D17" s="6">
        <x:f>IF(Anchor_Rows!C16="","",Anchor_Rows!C16)</x:f>
      </x:c>
      <x:c r="E17" s="6">
        <x:f>IF(Anchor_Rows!D16="","",Anchor_Rows!D16)</x:f>
      </x:c>
      <x:c r="F17" s="6" t="str">
        <x:f>Anchor_Rows!E16</x:f>
        <x:v>Secondary</x:v>
      </x:c>
      <x:c r="G17" s="6">
        <x:f>IF(Anchor_Rows!C16="","",Anchor_Rows!O16)</x:f>
      </x:c>
      <x:c r="H17" s="20" t="n"/>
      <x:c r="I17" s="6">
        <x:f>IF(OR($B17&lt;&gt;"Y",$H17="",$G17=""),"",ROUND($G17*$H17/4,2))</x:f>
      </x:c>
      <x:c r="J17" s="20" t="n"/>
      <x:c r="K17" s="20" t="n"/>
      <x:c r="L17" s="20" t="n"/>
    </x:row>
    <x:row r="18" ht="30" customHeight="1">
      <x:c r="A18" s="6" t="inlineStr">
        <x:is>
          <x:t xml:space="preserve">Anchor</x:t>
        </x:is>
      </x:c>
      <x:c r="B18" s="6" t="str">
        <x:f>Anchor_Rows!A17</x:f>
        <x:v>N</x:v>
      </x:c>
      <x:c r="C18" s="6" t="str">
        <x:f>Anchor_Rows!B17</x:f>
        <x:v>Module 2</x:v>
      </x:c>
      <x:c r="D18" s="6">
        <x:f>IF(Anchor_Rows!C17="","",Anchor_Rows!C17)</x:f>
      </x:c>
      <x:c r="E18" s="6">
        <x:f>IF(Anchor_Rows!D17="","",Anchor_Rows!D17)</x:f>
      </x:c>
      <x:c r="F18" s="6" t="str">
        <x:f>Anchor_Rows!E17</x:f>
        <x:v>Secondary</x:v>
      </x:c>
      <x:c r="G18" s="6">
        <x:f>IF(Anchor_Rows!C17="","",Anchor_Rows!O17)</x:f>
      </x:c>
      <x:c r="H18" s="20" t="n"/>
      <x:c r="I18" s="6">
        <x:f>IF(OR($B18&lt;&gt;"Y",$H18="",$G18=""),"",ROUND($G18*$H18/4,2))</x:f>
      </x:c>
      <x:c r="J18" s="20" t="n"/>
      <x:c r="K18" s="20" t="n"/>
      <x:c r="L18" s="20" t="n"/>
    </x:row>
    <x:row r="19" ht="30" customHeight="1">
      <x:c r="A19" s="6" t="inlineStr">
        <x:is>
          <x:t xml:space="preserve">Anchor</x:t>
        </x:is>
      </x:c>
      <x:c r="B19" s="6" t="str">
        <x:f>Anchor_Rows!A18</x:f>
        <x:v>N</x:v>
      </x:c>
      <x:c r="C19" s="6" t="str">
        <x:f>Anchor_Rows!B18</x:f>
        <x:v>Module 2</x:v>
      </x:c>
      <x:c r="D19" s="6">
        <x:f>IF(Anchor_Rows!C18="","",Anchor_Rows!C18)</x:f>
      </x:c>
      <x:c r="E19" s="6">
        <x:f>IF(Anchor_Rows!D18="","",Anchor_Rows!D18)</x:f>
      </x:c>
      <x:c r="F19" s="6" t="str">
        <x:f>Anchor_Rows!E18</x:f>
        <x:v>Secondary</x:v>
      </x:c>
      <x:c r="G19" s="6">
        <x:f>IF(Anchor_Rows!C18="","",Anchor_Rows!O18)</x:f>
      </x:c>
      <x:c r="H19" s="20" t="n"/>
      <x:c r="I19" s="6">
        <x:f>IF(OR($B19&lt;&gt;"Y",$H19="",$G19=""),"",ROUND($G19*$H19/4,2))</x:f>
      </x:c>
      <x:c r="J19" s="20" t="n"/>
      <x:c r="K19" s="20" t="n"/>
      <x:c r="L19" s="20" t="n"/>
    </x:row>
    <x:row r="20" ht="30" customHeight="1">
      <x:c r="A20" s="6" t="inlineStr">
        <x:is>
          <x:t xml:space="preserve">Anchor</x:t>
        </x:is>
      </x:c>
      <x:c r="B20" s="6" t="str">
        <x:f>Anchor_Rows!A19</x:f>
        <x:v>N</x:v>
      </x:c>
      <x:c r="C20" s="6" t="str">
        <x:f>Anchor_Rows!B19</x:f>
        <x:v>Module 2</x:v>
      </x:c>
      <x:c r="D20" s="6">
        <x:f>IF(Anchor_Rows!C19="","",Anchor_Rows!C19)</x:f>
      </x:c>
      <x:c r="E20" s="6">
        <x:f>IF(Anchor_Rows!D19="","",Anchor_Rows!D19)</x:f>
      </x:c>
      <x:c r="F20" s="6" t="str">
        <x:f>Anchor_Rows!E19</x:f>
        <x:v>Secondary</x:v>
      </x:c>
      <x:c r="G20" s="6">
        <x:f>IF(Anchor_Rows!C19="","",Anchor_Rows!O19)</x:f>
      </x:c>
      <x:c r="H20" s="20" t="n"/>
      <x:c r="I20" s="6">
        <x:f>IF(OR($B20&lt;&gt;"Y",$H20="",$G20=""),"",ROUND($G20*$H20/4,2))</x:f>
      </x:c>
      <x:c r="J20" s="20" t="n"/>
      <x:c r="K20" s="20" t="n"/>
      <x:c r="L20" s="20" t="n"/>
    </x:row>
    <x:row r="21" ht="30" customHeight="1">
      <x:c r="A21" s="6" t="inlineStr">
        <x:is>
          <x:t xml:space="preserve">Anchor</x:t>
        </x:is>
      </x:c>
      <x:c r="B21" s="6" t="str">
        <x:f>Anchor_Rows!A20</x:f>
        <x:v>N</x:v>
      </x:c>
      <x:c r="C21" s="6" t="str">
        <x:f>Anchor_Rows!B20</x:f>
        <x:v>Module 2</x:v>
      </x:c>
      <x:c r="D21" s="6">
        <x:f>IF(Anchor_Rows!C20="","",Anchor_Rows!C20)</x:f>
      </x:c>
      <x:c r="E21" s="6">
        <x:f>IF(Anchor_Rows!D20="","",Anchor_Rows!D20)</x:f>
      </x:c>
      <x:c r="F21" s="6" t="str">
        <x:f>Anchor_Rows!E20</x:f>
        <x:v>Secondary</x:v>
      </x:c>
      <x:c r="G21" s="6">
        <x:f>IF(Anchor_Rows!C20="","",Anchor_Rows!O20)</x:f>
      </x:c>
      <x:c r="H21" s="20" t="n"/>
      <x:c r="I21" s="6">
        <x:f>IF(OR($B21&lt;&gt;"Y",$H21="",$G21=""),"",ROUND($G21*$H21/4,2))</x:f>
      </x:c>
      <x:c r="J21" s="20" t="n"/>
      <x:c r="K21" s="20" t="n"/>
      <x:c r="L21" s="20" t="n"/>
    </x:row>
    <x:row r="22" ht="30" customHeight="1">
      <x:c r="A22" s="6" t="inlineStr">
        <x:is>
          <x:t xml:space="preserve">Anchor</x:t>
        </x:is>
      </x:c>
      <x:c r="B22" s="6" t="str">
        <x:f>Anchor_Rows!A21</x:f>
        <x:v>N</x:v>
      </x:c>
      <x:c r="C22" s="6" t="str">
        <x:f>Anchor_Rows!B21</x:f>
        <x:v>Module 2</x:v>
      </x:c>
      <x:c r="D22" s="6">
        <x:f>IF(Anchor_Rows!C21="","",Anchor_Rows!C21)</x:f>
      </x:c>
      <x:c r="E22" s="6">
        <x:f>IF(Anchor_Rows!D21="","",Anchor_Rows!D21)</x:f>
      </x:c>
      <x:c r="F22" s="6" t="str">
        <x:f>Anchor_Rows!E21</x:f>
        <x:v>Secondary</x:v>
      </x:c>
      <x:c r="G22" s="6">
        <x:f>IF(Anchor_Rows!C21="","",Anchor_Rows!O21)</x:f>
      </x:c>
      <x:c r="H22" s="20" t="n"/>
      <x:c r="I22" s="6">
        <x:f>IF(OR($B22&lt;&gt;"Y",$H22="",$G22=""),"",ROUND($G22*$H22/4,2))</x:f>
      </x:c>
      <x:c r="J22" s="20" t="n"/>
      <x:c r="K22" s="20" t="n"/>
      <x:c r="L22" s="20" t="n"/>
    </x:row>
    <x:row r="23" ht="30" customHeight="1">
      <x:c r="A23" s="6" t="inlineStr">
        <x:is>
          <x:t xml:space="preserve">Anchor</x:t>
        </x:is>
      </x:c>
      <x:c r="B23" s="6" t="str">
        <x:f>Anchor_Rows!A22</x:f>
        <x:v>Y</x:v>
      </x:c>
      <x:c r="C23" s="6" t="str">
        <x:f>Anchor_Rows!B22</x:f>
        <x:v>Module 3</x:v>
      </x:c>
      <x:c r="D23" s="6" t="str">
        <x:f>IF(Anchor_Rows!C22="","",Anchor_Rows!C22)</x:f>
        <x:v>F</x:v>
      </x:c>
      <x:c r="E23" s="6" t="str">
        <x:f>IF(Anchor_Rows!D22="","",Anchor_Rows!D22)</x:f>
        <x:v>Exceptions / workarounds + limits</x:v>
      </x:c>
      <x:c r="F23" s="6" t="str">
        <x:f>Anchor_Rows!E22</x:f>
        <x:v>Fallback</x:v>
      </x:c>
      <x:c r="G23" s="6">
        <x:f>IF(Anchor_Rows!C22="","",Anchor_Rows!O22)</x:f>
        <x:v>7</x:v>
      </x:c>
      <x:c r="H23" s="20" t="n"/>
      <x:c r="I23" s="6">
        <x:f>IF(OR($B23&lt;&gt;"Y",$H23="",$G23=""),"",ROUND($G23*$H23/4,2))</x:f>
      </x:c>
      <x:c r="J23" s="20" t="n"/>
      <x:c r="K23" s="20" t="n"/>
      <x:c r="L23" s="20" t="n"/>
    </x:row>
    <x:row r="24" ht="30" customHeight="1">
      <x:c r="A24" s="6" t="inlineStr">
        <x:is>
          <x:t xml:space="preserve">Anchor</x:t>
        </x:is>
      </x:c>
      <x:c r="B24" s="6" t="str">
        <x:f>Anchor_Rows!A23</x:f>
        <x:v>Y</x:v>
      </x:c>
      <x:c r="C24" s="6" t="str">
        <x:f>Anchor_Rows!B23</x:f>
        <x:v>Module 3</x:v>
      </x:c>
      <x:c r="D24" s="6" t="str">
        <x:f>IF(Anchor_Rows!C23="","",Anchor_Rows!C23)</x:f>
        <x:v>G</x:v>
      </x:c>
      <x:c r="E24" s="6" t="str">
        <x:f>IF(Anchor_Rows!D23="","",Anchor_Rows!D23)</x:f>
        <x:v>Reliance / estoppel / causation rigor</x:v>
      </x:c>
      <x:c r="F24" s="6" t="str">
        <x:f>Anchor_Rows!E23</x:f>
        <x:v>Fallback</x:v>
      </x:c>
      <x:c r="G24" s="6">
        <x:f>IF(Anchor_Rows!C23="","",Anchor_Rows!O23)</x:f>
        <x:v>7</x:v>
      </x:c>
      <x:c r="H24" s="20" t="n"/>
      <x:c r="I24" s="6">
        <x:f>IF(OR($B24&lt;&gt;"Y",$H24="",$G24=""),"",ROUND($G24*$H24/4,2))</x:f>
      </x:c>
      <x:c r="J24" s="20" t="n"/>
      <x:c r="K24" s="20" t="n"/>
      <x:c r="L24" s="20" t="n"/>
    </x:row>
    <x:row r="25" ht="30" customHeight="1">
      <x:c r="A25" s="6" t="inlineStr">
        <x:is>
          <x:t xml:space="preserve">Anchor</x:t>
        </x:is>
      </x:c>
      <x:c r="B25" s="6" t="str">
        <x:f>Anchor_Rows!A24</x:f>
        <x:v>Y</x:v>
      </x:c>
      <x:c r="C25" s="6" t="str">
        <x:f>Anchor_Rows!B24</x:f>
        <x:v>Module 3</x:v>
      </x:c>
      <x:c r="D25" s="6" t="str">
        <x:f>IF(Anchor_Rows!C24="","",Anchor_Rows!C24)</x:f>
        <x:v>H</x:v>
      </x:c>
      <x:c r="E25" s="6" t="str">
        <x:f>IF(Anchor_Rows!D24="","",Anchor_Rows!D24)</x:f>
        <x:v>Defenses / conditions / competing doctrines</x:v>
      </x:c>
      <x:c r="F25" s="6" t="str">
        <x:f>Anchor_Rows!E24</x:f>
        <x:v>Fallback</x:v>
      </x:c>
      <x:c r="G25" s="6">
        <x:f>IF(Anchor_Rows!C24="","",Anchor_Rows!O24)</x:f>
        <x:v>5.000000000000001</x:v>
      </x:c>
      <x:c r="H25" s="20" t="n"/>
      <x:c r="I25" s="6">
        <x:f>IF(OR($B25&lt;&gt;"Y",$H25="",$G25=""),"",ROUND($G25*$H25/4,2))</x:f>
      </x:c>
      <x:c r="J25" s="20" t="n"/>
      <x:c r="K25" s="20" t="n"/>
      <x:c r="L25" s="20" t="n"/>
    </x:row>
    <x:row r="26" ht="30" customHeight="1">
      <x:c r="A26" s="6" t="inlineStr">
        <x:is>
          <x:t xml:space="preserve">Anchor</x:t>
        </x:is>
      </x:c>
      <x:c r="B26" s="6" t="str">
        <x:f>Anchor_Rows!A25</x:f>
        <x:v>N</x:v>
      </x:c>
      <x:c r="C26" s="6" t="str">
        <x:f>Anchor_Rows!B25</x:f>
        <x:v>Module 3</x:v>
      </x:c>
      <x:c r="D26" s="6">
        <x:f>IF(Anchor_Rows!C25="","",Anchor_Rows!C25)</x:f>
      </x:c>
      <x:c r="E26" s="6">
        <x:f>IF(Anchor_Rows!D25="","",Anchor_Rows!D25)</x:f>
      </x:c>
      <x:c r="F26" s="6" t="str">
        <x:f>Anchor_Rows!E25</x:f>
        <x:v>Fallback</x:v>
      </x:c>
      <x:c r="G26" s="6">
        <x:f>IF(Anchor_Rows!C25="","",Anchor_Rows!O25)</x:f>
      </x:c>
      <x:c r="H26" s="20" t="n"/>
      <x:c r="I26" s="6">
        <x:f>IF(OR($B26&lt;&gt;"Y",$H26="",$G26=""),"",ROUND($G26*$H26/4,2))</x:f>
      </x:c>
      <x:c r="J26" s="20" t="n"/>
      <x:c r="K26" s="20" t="n"/>
      <x:c r="L26" s="20" t="n"/>
    </x:row>
    <x:row r="27" ht="30" customHeight="1">
      <x:c r="A27" s="6" t="inlineStr">
        <x:is>
          <x:t xml:space="preserve">Anchor</x:t>
        </x:is>
      </x:c>
      <x:c r="B27" s="6" t="str">
        <x:f>Anchor_Rows!A26</x:f>
        <x:v>N</x:v>
      </x:c>
      <x:c r="C27" s="6" t="str">
        <x:f>Anchor_Rows!B26</x:f>
        <x:v>Module 3</x:v>
      </x:c>
      <x:c r="D27" s="6">
        <x:f>IF(Anchor_Rows!C26="","",Anchor_Rows!C26)</x:f>
      </x:c>
      <x:c r="E27" s="6">
        <x:f>IF(Anchor_Rows!D26="","",Anchor_Rows!D26)</x:f>
      </x:c>
      <x:c r="F27" s="6" t="str">
        <x:f>Anchor_Rows!E26</x:f>
        <x:v>Fallback</x:v>
      </x:c>
      <x:c r="G27" s="6">
        <x:f>IF(Anchor_Rows!C26="","",Anchor_Rows!O26)</x:f>
      </x:c>
      <x:c r="H27" s="20" t="n"/>
      <x:c r="I27" s="6">
        <x:f>IF(OR($B27&lt;&gt;"Y",$H27="",$G27=""),"",ROUND($G27*$H27/4,2))</x:f>
      </x:c>
      <x:c r="J27" s="20" t="n"/>
      <x:c r="K27" s="20" t="n"/>
      <x:c r="L27" s="20" t="n"/>
    </x:row>
    <x:row r="28" ht="30" customHeight="1">
      <x:c r="A28" s="6" t="inlineStr">
        <x:is>
          <x:t xml:space="preserve">Anchor</x:t>
        </x:is>
      </x:c>
      <x:c r="B28" s="6" t="str">
        <x:f>Anchor_Rows!A27</x:f>
        <x:v>N</x:v>
      </x:c>
      <x:c r="C28" s="6" t="str">
        <x:f>Anchor_Rows!B27</x:f>
        <x:v>Module 3</x:v>
      </x:c>
      <x:c r="D28" s="6">
        <x:f>IF(Anchor_Rows!C27="","",Anchor_Rows!C27)</x:f>
      </x:c>
      <x:c r="E28" s="6">
        <x:f>IF(Anchor_Rows!D27="","",Anchor_Rows!D27)</x:f>
      </x:c>
      <x:c r="F28" s="6" t="str">
        <x:f>Anchor_Rows!E27</x:f>
        <x:v>Fallback</x:v>
      </x:c>
      <x:c r="G28" s="6">
        <x:f>IF(Anchor_Rows!C27="","",Anchor_Rows!O27)</x:f>
      </x:c>
      <x:c r="H28" s="20" t="n"/>
      <x:c r="I28" s="6">
        <x:f>IF(OR($B28&lt;&gt;"Y",$H28="",$G28=""),"",ROUND($G28*$H28/4,2))</x:f>
      </x:c>
      <x:c r="J28" s="20" t="n"/>
      <x:c r="K28" s="20" t="n"/>
      <x:c r="L28" s="20" t="n"/>
    </x:row>
    <x:row r="29" ht="30" customHeight="1">
      <x:c r="A29" s="6" t="inlineStr">
        <x:is>
          <x:t xml:space="preserve">Anchor</x:t>
        </x:is>
      </x:c>
      <x:c r="B29" s="6" t="str">
        <x:f>Anchor_Rows!A28</x:f>
        <x:v>N</x:v>
      </x:c>
      <x:c r="C29" s="6" t="str">
        <x:f>Anchor_Rows!B28</x:f>
        <x:v>Module 3</x:v>
      </x:c>
      <x:c r="D29" s="6">
        <x:f>IF(Anchor_Rows!C28="","",Anchor_Rows!C28)</x:f>
      </x:c>
      <x:c r="E29" s="6">
        <x:f>IF(Anchor_Rows!D28="","",Anchor_Rows!D28)</x:f>
      </x:c>
      <x:c r="F29" s="6" t="str">
        <x:f>Anchor_Rows!E28</x:f>
        <x:v>Fallback</x:v>
      </x:c>
      <x:c r="G29" s="6">
        <x:f>IF(Anchor_Rows!C28="","",Anchor_Rows!O28)</x:f>
      </x:c>
      <x:c r="H29" s="20" t="n"/>
      <x:c r="I29" s="6">
        <x:f>IF(OR($B29&lt;&gt;"Y",$H29="",$G29=""),"",ROUND($G29*$H29/4,2))</x:f>
      </x:c>
      <x:c r="J29" s="20" t="n"/>
      <x:c r="K29" s="20" t="n"/>
      <x:c r="L29" s="20" t="n"/>
    </x:row>
    <x:row r="30" ht="30" customHeight="1">
      <x:c r="A30" s="6" t="inlineStr">
        <x:is>
          <x:t xml:space="preserve">Anchor</x:t>
        </x:is>
      </x:c>
      <x:c r="B30" s="6" t="str">
        <x:f>Anchor_Rows!A29</x:f>
        <x:v>N</x:v>
      </x:c>
      <x:c r="C30" s="6" t="str">
        <x:f>Anchor_Rows!B29</x:f>
        <x:v>Module 3</x:v>
      </x:c>
      <x:c r="D30" s="6">
        <x:f>IF(Anchor_Rows!C29="","",Anchor_Rows!C29)</x:f>
      </x:c>
      <x:c r="E30" s="6">
        <x:f>IF(Anchor_Rows!D29="","",Anchor_Rows!D29)</x:f>
      </x:c>
      <x:c r="F30" s="6" t="str">
        <x:f>Anchor_Rows!E29</x:f>
        <x:v>Fallback</x:v>
      </x:c>
      <x:c r="G30" s="6">
        <x:f>IF(Anchor_Rows!C29="","",Anchor_Rows!O29)</x:f>
      </x:c>
      <x:c r="H30" s="20" t="n"/>
      <x:c r="I30" s="6">
        <x:f>IF(OR($B30&lt;&gt;"Y",$H30="",$G30=""),"",ROUND($G30*$H30/4,2))</x:f>
      </x:c>
      <x:c r="J30" s="20" t="n"/>
      <x:c r="K30" s="20" t="n"/>
      <x:c r="L30" s="20" t="n"/>
    </x:row>
    <x:row r="31" ht="30" customHeight="1">
      <x:c r="A31" s="6" t="inlineStr">
        <x:is>
          <x:t xml:space="preserve">Anchor</x:t>
        </x:is>
      </x:c>
      <x:c r="B31" s="6" t="str">
        <x:f>Anchor_Rows!A30</x:f>
        <x:v>N</x:v>
      </x:c>
      <x:c r="C31" s="6" t="str">
        <x:f>Anchor_Rows!B30</x:f>
        <x:v>Module 3</x:v>
      </x:c>
      <x:c r="D31" s="6">
        <x:f>IF(Anchor_Rows!C30="","",Anchor_Rows!C30)</x:f>
      </x:c>
      <x:c r="E31" s="6">
        <x:f>IF(Anchor_Rows!D30="","",Anchor_Rows!D30)</x:f>
      </x:c>
      <x:c r="F31" s="6" t="str">
        <x:f>Anchor_Rows!E30</x:f>
        <x:v>Fallback</x:v>
      </x:c>
      <x:c r="G31" s="6">
        <x:f>IF(Anchor_Rows!C30="","",Anchor_Rows!O30)</x:f>
      </x:c>
      <x:c r="H31" s="20" t="n"/>
      <x:c r="I31" s="6">
        <x:f>IF(OR($B31&lt;&gt;"Y",$H31="",$G31=""),"",ROUND($G31*$H31/4,2))</x:f>
      </x:c>
      <x:c r="J31" s="20" t="n"/>
      <x:c r="K31" s="20" t="n"/>
      <x:c r="L31" s="20" t="n"/>
    </x:row>
    <x:row r="32" ht="30" customHeight="1">
      <x:c r="A32" s="6" t="inlineStr">
        <x:is>
          <x:t xml:space="preserve">Anchor</x:t>
        </x:is>
      </x:c>
      <x:c r="B32" s="6" t="str">
        <x:f>Anchor_Rows!A31</x:f>
        <x:v>Y</x:v>
      </x:c>
      <x:c r="C32" s="6" t="str">
        <x:f>Anchor_Rows!B31</x:f>
        <x:v>Module 4</x:v>
      </x:c>
      <x:c r="D32" s="6" t="str">
        <x:f>IF(Anchor_Rows!C31="","",Anchor_Rows!C31)</x:f>
        <x:v>I</x:v>
      </x:c>
      <x:c r="E32" s="6" t="str">
        <x:f>IF(Anchor_Rows!D31="","",Anchor_Rows!D31)</x:f>
        <x:v>Factual fidelity + internal consistency</x:v>
      </x:c>
      <x:c r="F32" s="6" t="str">
        <x:f>Anchor_Rows!E31</x:f>
        <x:v>Cross-cutting</x:v>
      </x:c>
      <x:c r="G32" s="6">
        <x:f>IF(Anchor_Rows!C31="","",Anchor_Rows!O31)</x:f>
        <x:v>5</x:v>
      </x:c>
      <x:c r="H32" s="20" t="n"/>
      <x:c r="I32" s="6">
        <x:f>IF(OR($B32&lt;&gt;"Y",$H32="",$G32=""),"",ROUND($G32*$H32/4,2))</x:f>
      </x:c>
      <x:c r="J32" s="20" t="n"/>
      <x:c r="K32" s="20" t="n"/>
      <x:c r="L32" s="20" t="n"/>
    </x:row>
    <x:row r="33" ht="30" customHeight="1">
      <x:c r="A33" s="6" t="inlineStr">
        <x:is>
          <x:t xml:space="preserve">Anchor</x:t>
        </x:is>
      </x:c>
      <x:c r="B33" s="6" t="str">
        <x:f>Anchor_Rows!A32</x:f>
        <x:v>Y</x:v>
      </x:c>
      <x:c r="C33" s="6" t="str">
        <x:f>Anchor_Rows!B32</x:f>
        <x:v>Module 4</x:v>
      </x:c>
      <x:c r="D33" s="6" t="str">
        <x:f>IF(Anchor_Rows!C32="","",Anchor_Rows!C32)</x:f>
        <x:v>L</x:v>
      </x:c>
      <x:c r="E33" s="6" t="str">
        <x:f>IF(Anchor_Rows!D32="","",Anchor_Rows!D32)</x:f>
        <x:v>Scope calibration / claim discipline</x:v>
      </x:c>
      <x:c r="F33" s="6" t="str">
        <x:f>Anchor_Rows!E32</x:f>
        <x:v>Cross-cutting</x:v>
      </x:c>
      <x:c r="G33" s="6">
        <x:f>IF(Anchor_Rows!C32="","",Anchor_Rows!O32)</x:f>
        <x:v>4</x:v>
      </x:c>
      <x:c r="H33" s="20" t="n"/>
      <x:c r="I33" s="6">
        <x:f>IF(OR($B33&lt;&gt;"Y",$H33="",$G33=""),"",ROUND($G33*$H33/4,2))</x:f>
      </x:c>
      <x:c r="J33" s="20" t="n"/>
      <x:c r="K33" s="20" t="n"/>
      <x:c r="L33" s="20" t="n"/>
    </x:row>
    <x:row r="34" ht="30" customHeight="1">
      <x:c r="A34" s="6" t="inlineStr">
        <x:is>
          <x:t xml:space="preserve">Anchor</x:t>
        </x:is>
      </x:c>
      <x:c r="B34" s="6" t="str">
        <x:f>Anchor_Rows!A33</x:f>
        <x:v>Y</x:v>
      </x:c>
      <x:c r="C34" s="6" t="str">
        <x:f>Anchor_Rows!B33</x:f>
        <x:v>Module 4</x:v>
      </x:c>
      <x:c r="D34" s="6" t="str">
        <x:f>IF(Anchor_Rows!C33="","",Anchor_Rows!C33)</x:f>
        <x:v>M</x:v>
      </x:c>
      <x:c r="E34" s="6" t="str">
        <x:f>IF(Anchor_Rows!D33="","",Anchor_Rows!D33)</x:f>
        <x:v>Relevance discipline / prompt adherence</x:v>
      </x:c>
      <x:c r="F34" s="6" t="str">
        <x:f>Anchor_Rows!E33</x:f>
        <x:v>Cross-cutting</x:v>
      </x:c>
      <x:c r="G34" s="6">
        <x:f>IF(Anchor_Rows!C33="","",Anchor_Rows!O33)</x:f>
        <x:v>4</x:v>
      </x:c>
      <x:c r="H34" s="20" t="n"/>
      <x:c r="I34" s="6">
        <x:f>IF(OR($B34&lt;&gt;"Y",$H34="",$G34=""),"",ROUND($G34*$H34/4,2))</x:f>
      </x:c>
      <x:c r="J34" s="20" t="n"/>
      <x:c r="K34" s="20" t="n"/>
      <x:c r="L34" s="20" t="n"/>
    </x:row>
    <x:row r="35" ht="30" customHeight="1">
      <x:c r="A35" s="6" t="inlineStr">
        <x:is>
          <x:t xml:space="preserve">Anchor</x:t>
        </x:is>
      </x:c>
      <x:c r="B35" s="6" t="str">
        <x:f>Anchor_Rows!A34</x:f>
        <x:v>N</x:v>
      </x:c>
      <x:c r="C35" s="6" t="str">
        <x:f>Anchor_Rows!B34</x:f>
        <x:v>Module 4</x:v>
      </x:c>
      <x:c r="D35" s="6">
        <x:f>IF(Anchor_Rows!C34="","",Anchor_Rows!C34)</x:f>
      </x:c>
      <x:c r="E35" s="6">
        <x:f>IF(Anchor_Rows!D34="","",Anchor_Rows!D34)</x:f>
      </x:c>
      <x:c r="F35" s="6" t="str">
        <x:f>Anchor_Rows!E34</x:f>
        <x:v>Cross-cutting</x:v>
      </x:c>
      <x:c r="G35" s="6">
        <x:f>IF(Anchor_Rows!C34="","",Anchor_Rows!O34)</x:f>
      </x:c>
      <x:c r="H35" s="20" t="n"/>
      <x:c r="I35" s="6">
        <x:f>IF(OR($B35&lt;&gt;"Y",$H35="",$G35=""),"",ROUND($G35*$H35/4,2))</x:f>
      </x:c>
      <x:c r="J35" s="20" t="n"/>
      <x:c r="K35" s="20" t="n"/>
      <x:c r="L35" s="20" t="n"/>
    </x:row>
    <x:row r="36" ht="30" customHeight="1">
      <x:c r="A36" s="6" t="inlineStr">
        <x:is>
          <x:t xml:space="preserve">Anchor</x:t>
        </x:is>
      </x:c>
      <x:c r="B36" s="6" t="str">
        <x:f>Anchor_Rows!A35</x:f>
        <x:v>N</x:v>
      </x:c>
      <x:c r="C36" s="6" t="str">
        <x:f>Anchor_Rows!B35</x:f>
        <x:v>Module 4</x:v>
      </x:c>
      <x:c r="D36" s="6">
        <x:f>IF(Anchor_Rows!C35="","",Anchor_Rows!C35)</x:f>
      </x:c>
      <x:c r="E36" s="6">
        <x:f>IF(Anchor_Rows!D35="","",Anchor_Rows!D35)</x:f>
      </x:c>
      <x:c r="F36" s="6" t="str">
        <x:f>Anchor_Rows!E35</x:f>
        <x:v>Cross-cutting</x:v>
      </x:c>
      <x:c r="G36" s="6">
        <x:f>IF(Anchor_Rows!C35="","",Anchor_Rows!O35)</x:f>
      </x:c>
      <x:c r="H36" s="20" t="n"/>
      <x:c r="I36" s="6">
        <x:f>IF(OR($B36&lt;&gt;"Y",$H36="",$G36=""),"",ROUND($G36*$H36/4,2))</x:f>
      </x:c>
      <x:c r="J36" s="20" t="n"/>
      <x:c r="K36" s="20" t="n"/>
      <x:c r="L36" s="20" t="n"/>
    </x:row>
    <x:row r="37" ht="30" customHeight="1">
      <x:c r="A37" s="6" t="inlineStr">
        <x:is>
          <x:t xml:space="preserve">Anchor</x:t>
        </x:is>
      </x:c>
      <x:c r="B37" s="6" t="str">
        <x:f>Anchor_Rows!A36</x:f>
        <x:v>N</x:v>
      </x:c>
      <x:c r="C37" s="6" t="str">
        <x:f>Anchor_Rows!B36</x:f>
        <x:v>Module 4</x:v>
      </x:c>
      <x:c r="D37" s="6">
        <x:f>IF(Anchor_Rows!C36="","",Anchor_Rows!C36)</x:f>
      </x:c>
      <x:c r="E37" s="6">
        <x:f>IF(Anchor_Rows!D36="","",Anchor_Rows!D36)</x:f>
      </x:c>
      <x:c r="F37" s="6" t="str">
        <x:f>Anchor_Rows!E36</x:f>
        <x:v>Cross-cutting</x:v>
      </x:c>
      <x:c r="G37" s="6">
        <x:f>IF(Anchor_Rows!C36="","",Anchor_Rows!O36)</x:f>
      </x:c>
      <x:c r="H37" s="20" t="n"/>
      <x:c r="I37" s="6">
        <x:f>IF(OR($B37&lt;&gt;"Y",$H37="",$G37=""),"",ROUND($G37*$H37/4,2))</x:f>
      </x:c>
      <x:c r="J37" s="20" t="n"/>
      <x:c r="K37" s="20" t="n"/>
      <x:c r="L37" s="20" t="n"/>
    </x:row>
    <x:row r="38" ht="30" customHeight="1">
      <x:c r="A38" s="6" t="inlineStr">
        <x:is>
          <x:t xml:space="preserve">Anchor</x:t>
        </x:is>
      </x:c>
      <x:c r="B38" s="6" t="str">
        <x:f>Anchor_Rows!A37</x:f>
        <x:v>N</x:v>
      </x:c>
      <x:c r="C38" s="6" t="str">
        <x:f>Anchor_Rows!B37</x:f>
        <x:v>Module 4</x:v>
      </x:c>
      <x:c r="D38" s="6">
        <x:f>IF(Anchor_Rows!C37="","",Anchor_Rows!C37)</x:f>
      </x:c>
      <x:c r="E38" s="6">
        <x:f>IF(Anchor_Rows!D37="","",Anchor_Rows!D37)</x:f>
      </x:c>
      <x:c r="F38" s="6" t="str">
        <x:f>Anchor_Rows!E37</x:f>
        <x:v>Cross-cutting</x:v>
      </x:c>
      <x:c r="G38" s="6">
        <x:f>IF(Anchor_Rows!C37="","",Anchor_Rows!O37)</x:f>
      </x:c>
      <x:c r="H38" s="20" t="n"/>
      <x:c r="I38" s="6">
        <x:f>IF(OR($B38&lt;&gt;"Y",$H38="",$G38=""),"",ROUND($G38*$H38/4,2))</x:f>
      </x:c>
      <x:c r="J38" s="20" t="n"/>
      <x:c r="K38" s="20" t="n"/>
      <x:c r="L38" s="20" t="n"/>
    </x:row>
    <x:row r="39" ht="30" customHeight="1">
      <x:c r="A39" s="6" t="inlineStr">
        <x:is>
          <x:t xml:space="preserve">Anchor</x:t>
        </x:is>
      </x:c>
      <x:c r="B39" s="6" t="str">
        <x:f>Anchor_Rows!A38</x:f>
        <x:v>N</x:v>
      </x:c>
      <x:c r="C39" s="6" t="str">
        <x:f>Anchor_Rows!B38</x:f>
        <x:v>Module 4</x:v>
      </x:c>
      <x:c r="D39" s="6">
        <x:f>IF(Anchor_Rows!C38="","",Anchor_Rows!C38)</x:f>
      </x:c>
      <x:c r="E39" s="6">
        <x:f>IF(Anchor_Rows!D38="","",Anchor_Rows!D38)</x:f>
      </x:c>
      <x:c r="F39" s="6" t="str">
        <x:f>Anchor_Rows!E38</x:f>
        <x:v>Cross-cutting</x:v>
      </x:c>
      <x:c r="G39" s="6">
        <x:f>IF(Anchor_Rows!C38="","",Anchor_Rows!O38)</x:f>
      </x:c>
      <x:c r="H39" s="20" t="n"/>
      <x:c r="I39" s="6">
        <x:f>IF(OR($B39&lt;&gt;"Y",$H39="",$G39=""),"",ROUND($G39*$H39/4,2))</x:f>
      </x:c>
      <x:c r="J39" s="20" t="n"/>
      <x:c r="K39" s="20" t="n"/>
      <x:c r="L39" s="20" t="n"/>
    </x:row>
    <x:row r="40" ht="30" customHeight="1">
      <x:c r="A40" s="6" t="inlineStr">
        <x:is>
          <x:t xml:space="preserve">Anchor</x:t>
        </x:is>
      </x:c>
      <x:c r="B40" s="6" t="str">
        <x:f>Anchor_Rows!A39</x:f>
        <x:v>N</x:v>
      </x:c>
      <x:c r="C40" s="6" t="str">
        <x:f>Anchor_Rows!B39</x:f>
        <x:v>Module 4</x:v>
      </x:c>
      <x:c r="D40" s="6">
        <x:f>IF(Anchor_Rows!C39="","",Anchor_Rows!C39)</x:f>
      </x:c>
      <x:c r="E40" s="6">
        <x:f>IF(Anchor_Rows!D39="","",Anchor_Rows!D39)</x:f>
      </x:c>
      <x:c r="F40" s="6" t="str">
        <x:f>Anchor_Rows!E39</x:f>
        <x:v>Cross-cutting</x:v>
      </x:c>
      <x:c r="G40" s="6">
        <x:f>IF(Anchor_Rows!C39="","",Anchor_Rows!O39)</x:f>
      </x:c>
      <x:c r="H40" s="20" t="n"/>
      <x:c r="I40" s="6">
        <x:f>IF(OR($B40&lt;&gt;"Y",$H40="",$G40=""),"",ROUND($G40*$H40/4,2))</x:f>
      </x:c>
      <x:c r="J40" s="20" t="n"/>
      <x:c r="K40" s="20" t="n"/>
      <x:c r="L40" s="20" t="n"/>
    </x:row>
    <x:row r="41" ht="22" customHeight="1">
      <x:c r="A41" s="24" t="inlineStr">
        <x:is>
          <x:t xml:space="preserve">Emergent rows</x:t>
        </x:is>
      </x:c>
      <x:c r="B41" s="3" t="n"/>
      <x:c r="C41" s="3" t="n"/>
      <x:c r="D41" s="3" t="n"/>
      <x:c r="E41" s="3" t="n"/>
      <x:c r="F41" s="3" t="n"/>
      <x:c r="G41" s="3" t="n"/>
      <x:c r="H41" s="3" t="n"/>
      <x:c r="I41" s="3" t="n"/>
      <x:c r="J41" s="3" t="n"/>
      <x:c r="K41" s="3" t="n"/>
      <x:c r="L41" s="3" t="n"/>
    </x:row>
    <x:row r="42" ht="30" customHeight="1">
      <x:c r="A42" s="6" t="inlineStr">
        <x:is>
          <x:t xml:space="preserve">Emergent</x:t>
        </x:is>
      </x:c>
      <x:c r="B42" s="6" t="str">
        <x:f>Emergent_Rows!A4</x:f>
        <x:v>N</x:v>
      </x:c>
      <x:c r="C42" s="6" t="str">
        <x:f>Emergent_Rows!B4</x:f>
        <x:v>Module 1</x:v>
      </x:c>
      <x:c r="D42" s="6">
        <x:f>IF(Emergent_Rows!C4="","",Emergent_Rows!C4)</x:f>
      </x:c>
      <x:c r="E42" s="6">
        <x:f>IF(Emergent_Rows!D4="","",Emergent_Rows!D4)</x:f>
      </x:c>
      <x:c r="F42" s="6" t="str">
        <x:f>Emergent_Rows!E4</x:f>
        <x:v>Secondary</x:v>
      </x:c>
      <x:c r="G42" s="6">
        <x:f>IF(Emergent_Rows!C4="","",Emergent_Rows!T4)</x:f>
      </x:c>
      <x:c r="H42" s="20" t="n"/>
      <x:c r="I42" s="6">
        <x:f>IF(OR($B42&lt;&gt;"Y",$H42="",$G42=""),"",ROUND($G42*$H42/4,2))</x:f>
      </x:c>
      <x:c r="J42" s="20" t="n"/>
      <x:c r="K42" s="20" t="n"/>
      <x:c r="L42" s="20" t="n"/>
    </x:row>
    <x:row r="43" ht="30" customHeight="1">
      <x:c r="A43" s="6" t="inlineStr">
        <x:is>
          <x:t xml:space="preserve">Emergent</x:t>
        </x:is>
      </x:c>
      <x:c r="B43" s="6" t="str">
        <x:f>Emergent_Rows!A5</x:f>
        <x:v>N</x:v>
      </x:c>
      <x:c r="C43" s="6" t="str">
        <x:f>Emergent_Rows!B5</x:f>
        <x:v>Module 1</x:v>
      </x:c>
      <x:c r="D43" s="6">
        <x:f>IF(Emergent_Rows!C5="","",Emergent_Rows!C5)</x:f>
      </x:c>
      <x:c r="E43" s="6">
        <x:f>IF(Emergent_Rows!D5="","",Emergent_Rows!D5)</x:f>
      </x:c>
      <x:c r="F43" s="6" t="str">
        <x:f>Emergent_Rows!E5</x:f>
        <x:v>Secondary</x:v>
      </x:c>
      <x:c r="G43" s="6">
        <x:f>IF(Emergent_Rows!C5="","",Emergent_Rows!T5)</x:f>
      </x:c>
      <x:c r="H43" s="20" t="n"/>
      <x:c r="I43" s="6">
        <x:f>IF(OR($B43&lt;&gt;"Y",$H43="",$G43=""),"",ROUND($G43*$H43/4,2))</x:f>
      </x:c>
      <x:c r="J43" s="20" t="n"/>
      <x:c r="K43" s="20" t="n"/>
      <x:c r="L43" s="20" t="n"/>
    </x:row>
    <x:row r="44" ht="30" customHeight="1">
      <x:c r="A44" s="6" t="inlineStr">
        <x:is>
          <x:t xml:space="preserve">Emergent</x:t>
        </x:is>
      </x:c>
      <x:c r="B44" s="6" t="str">
        <x:f>Emergent_Rows!A6</x:f>
        <x:v>N</x:v>
      </x:c>
      <x:c r="C44" s="6" t="str">
        <x:f>Emergent_Rows!B6</x:f>
        <x:v>Module 1</x:v>
      </x:c>
      <x:c r="D44" s="6">
        <x:f>IF(Emergent_Rows!C6="","",Emergent_Rows!C6)</x:f>
      </x:c>
      <x:c r="E44" s="6">
        <x:f>IF(Emergent_Rows!D6="","",Emergent_Rows!D6)</x:f>
      </x:c>
      <x:c r="F44" s="6" t="str">
        <x:f>Emergent_Rows!E6</x:f>
        <x:v>Secondary</x:v>
      </x:c>
      <x:c r="G44" s="6">
        <x:f>IF(Emergent_Rows!C6="","",Emergent_Rows!T6)</x:f>
      </x:c>
      <x:c r="H44" s="20" t="n"/>
      <x:c r="I44" s="6">
        <x:f>IF(OR($B44&lt;&gt;"Y",$H44="",$G44=""),"",ROUND($G44*$H44/4,2))</x:f>
      </x:c>
      <x:c r="J44" s="20" t="n"/>
      <x:c r="K44" s="20" t="n"/>
      <x:c r="L44" s="20" t="n"/>
    </x:row>
    <x:row r="45" ht="30" customHeight="1">
      <x:c r="A45" s="6" t="inlineStr">
        <x:is>
          <x:t xml:space="preserve">Emergent</x:t>
        </x:is>
      </x:c>
      <x:c r="B45" s="6" t="str">
        <x:f>Emergent_Rows!A7</x:f>
        <x:v>N</x:v>
      </x:c>
      <x:c r="C45" s="6" t="str">
        <x:f>Emergent_Rows!B7</x:f>
        <x:v>Module 1</x:v>
      </x:c>
      <x:c r="D45" s="6">
        <x:f>IF(Emergent_Rows!C7="","",Emergent_Rows!C7)</x:f>
      </x:c>
      <x:c r="E45" s="6">
        <x:f>IF(Emergent_Rows!D7="","",Emergent_Rows!D7)</x:f>
      </x:c>
      <x:c r="F45" s="6" t="str">
        <x:f>Emergent_Rows!E7</x:f>
        <x:v>Secondary</x:v>
      </x:c>
      <x:c r="G45" s="6">
        <x:f>IF(Emergent_Rows!C7="","",Emergent_Rows!T7)</x:f>
      </x:c>
      <x:c r="H45" s="20" t="n"/>
      <x:c r="I45" s="6">
        <x:f>IF(OR($B45&lt;&gt;"Y",$H45="",$G45=""),"",ROUND($G45*$H45/4,2))</x:f>
      </x:c>
      <x:c r="J45" s="20" t="n"/>
      <x:c r="K45" s="20" t="n"/>
      <x:c r="L45" s="20" t="n"/>
    </x:row>
    <x:row r="46" ht="30" customHeight="1">
      <x:c r="A46" s="6" t="inlineStr">
        <x:is>
          <x:t xml:space="preserve">Emergent</x:t>
        </x:is>
      </x:c>
      <x:c r="B46" s="6" t="str">
        <x:f>Emergent_Rows!A8</x:f>
        <x:v>N</x:v>
      </x:c>
      <x:c r="C46" s="6" t="str">
        <x:f>Emergent_Rows!B8</x:f>
        <x:v>Module 1</x:v>
      </x:c>
      <x:c r="D46" s="6">
        <x:f>IF(Emergent_Rows!C8="","",Emergent_Rows!C8)</x:f>
      </x:c>
      <x:c r="E46" s="6">
        <x:f>IF(Emergent_Rows!D8="","",Emergent_Rows!D8)</x:f>
      </x:c>
      <x:c r="F46" s="6" t="str">
        <x:f>Emergent_Rows!E8</x:f>
        <x:v>Secondary</x:v>
      </x:c>
      <x:c r="G46" s="6">
        <x:f>IF(Emergent_Rows!C8="","",Emergent_Rows!T8)</x:f>
      </x:c>
      <x:c r="H46" s="20" t="n"/>
      <x:c r="I46" s="6">
        <x:f>IF(OR($B46&lt;&gt;"Y",$H46="",$G46=""),"",ROUND($G46*$H46/4,2))</x:f>
      </x:c>
      <x:c r="J46" s="20" t="n"/>
      <x:c r="K46" s="20" t="n"/>
      <x:c r="L46" s="20" t="n"/>
    </x:row>
    <x:row r="47" ht="30" customHeight="1">
      <x:c r="A47" s="6" t="inlineStr">
        <x:is>
          <x:t xml:space="preserve">Emergent</x:t>
        </x:is>
      </x:c>
      <x:c r="B47" s="6" t="str">
        <x:f>Emergent_Rows!A9</x:f>
        <x:v>N</x:v>
      </x:c>
      <x:c r="C47" s="6" t="str">
        <x:f>Emergent_Rows!B9</x:f>
        <x:v>Module 2</x:v>
      </x:c>
      <x:c r="D47" s="6">
        <x:f>IF(Emergent_Rows!C9="","",Emergent_Rows!C9)</x:f>
      </x:c>
      <x:c r="E47" s="6">
        <x:f>IF(Emergent_Rows!D9="","",Emergent_Rows!D9)</x:f>
      </x:c>
      <x:c r="F47" s="6" t="str">
        <x:f>Emergent_Rows!E9</x:f>
        <x:v>Secondary</x:v>
      </x:c>
      <x:c r="G47" s="6">
        <x:f>IF(Emergent_Rows!C9="","",Emergent_Rows!T9)</x:f>
      </x:c>
      <x:c r="H47" s="20" t="n"/>
      <x:c r="I47" s="6">
        <x:f>IF(OR($B47&lt;&gt;"Y",$H47="",$G47=""),"",ROUND($G47*$H47/4,2))</x:f>
      </x:c>
      <x:c r="J47" s="20" t="n"/>
      <x:c r="K47" s="20" t="n"/>
      <x:c r="L47" s="20" t="n"/>
    </x:row>
    <x:row r="48" ht="30" customHeight="1">
      <x:c r="A48" s="6" t="inlineStr">
        <x:is>
          <x:t xml:space="preserve">Emergent</x:t>
        </x:is>
      </x:c>
      <x:c r="B48" s="6" t="str">
        <x:f>Emergent_Rows!A10</x:f>
        <x:v>N</x:v>
      </x:c>
      <x:c r="C48" s="6" t="str">
        <x:f>Emergent_Rows!B10</x:f>
        <x:v>Module 2</x:v>
      </x:c>
      <x:c r="D48" s="6">
        <x:f>IF(Emergent_Rows!C10="","",Emergent_Rows!C10)</x:f>
      </x:c>
      <x:c r="E48" s="6">
        <x:f>IF(Emergent_Rows!D10="","",Emergent_Rows!D10)</x:f>
      </x:c>
      <x:c r="F48" s="6" t="str">
        <x:f>Emergent_Rows!E10</x:f>
        <x:v>Secondary</x:v>
      </x:c>
      <x:c r="G48" s="6">
        <x:f>IF(Emergent_Rows!C10="","",Emergent_Rows!T10)</x:f>
      </x:c>
      <x:c r="H48" s="20" t="n"/>
      <x:c r="I48" s="6">
        <x:f>IF(OR($B48&lt;&gt;"Y",$H48="",$G48=""),"",ROUND($G48*$H48/4,2))</x:f>
      </x:c>
      <x:c r="J48" s="20" t="n"/>
      <x:c r="K48" s="20" t="n"/>
      <x:c r="L48" s="20" t="n"/>
    </x:row>
    <x:row r="49" ht="30" customHeight="1">
      <x:c r="A49" s="6" t="inlineStr">
        <x:is>
          <x:t xml:space="preserve">Emergent</x:t>
        </x:is>
      </x:c>
      <x:c r="B49" s="6" t="str">
        <x:f>Emergent_Rows!A11</x:f>
        <x:v>N</x:v>
      </x:c>
      <x:c r="C49" s="6" t="str">
        <x:f>Emergent_Rows!B11</x:f>
        <x:v>Module 2</x:v>
      </x:c>
      <x:c r="D49" s="6">
        <x:f>IF(Emergent_Rows!C11="","",Emergent_Rows!C11)</x:f>
      </x:c>
      <x:c r="E49" s="6">
        <x:f>IF(Emergent_Rows!D11="","",Emergent_Rows!D11)</x:f>
      </x:c>
      <x:c r="F49" s="6" t="str">
        <x:f>Emergent_Rows!E11</x:f>
        <x:v>Secondary</x:v>
      </x:c>
      <x:c r="G49" s="6">
        <x:f>IF(Emergent_Rows!C11="","",Emergent_Rows!T11)</x:f>
      </x:c>
      <x:c r="H49" s="20" t="n"/>
      <x:c r="I49" s="6">
        <x:f>IF(OR($B49&lt;&gt;"Y",$H49="",$G49=""),"",ROUND($G49*$H49/4,2))</x:f>
      </x:c>
      <x:c r="J49" s="20" t="n"/>
      <x:c r="K49" s="20" t="n"/>
      <x:c r="L49" s="20" t="n"/>
    </x:row>
    <x:row r="50" ht="30" customHeight="1">
      <x:c r="A50" s="6" t="inlineStr">
        <x:is>
          <x:t xml:space="preserve">Emergent</x:t>
        </x:is>
      </x:c>
      <x:c r="B50" s="6" t="str">
        <x:f>Emergent_Rows!A12</x:f>
        <x:v>N</x:v>
      </x:c>
      <x:c r="C50" s="6" t="str">
        <x:f>Emergent_Rows!B12</x:f>
        <x:v>Module 2</x:v>
      </x:c>
      <x:c r="D50" s="6">
        <x:f>IF(Emergent_Rows!C12="","",Emergent_Rows!C12)</x:f>
      </x:c>
      <x:c r="E50" s="6">
        <x:f>IF(Emergent_Rows!D12="","",Emergent_Rows!D12)</x:f>
      </x:c>
      <x:c r="F50" s="6" t="str">
        <x:f>Emergent_Rows!E12</x:f>
        <x:v>Secondary</x:v>
      </x:c>
      <x:c r="G50" s="6">
        <x:f>IF(Emergent_Rows!C12="","",Emergent_Rows!T12)</x:f>
      </x:c>
      <x:c r="H50" s="20" t="n"/>
      <x:c r="I50" s="6">
        <x:f>IF(OR($B50&lt;&gt;"Y",$H50="",$G50=""),"",ROUND($G50*$H50/4,2))</x:f>
      </x:c>
      <x:c r="J50" s="20" t="n"/>
      <x:c r="K50" s="20" t="n"/>
      <x:c r="L50" s="20" t="n"/>
    </x:row>
    <x:row r="51" ht="30" customHeight="1">
      <x:c r="A51" s="6" t="inlineStr">
        <x:is>
          <x:t xml:space="preserve">Emergent</x:t>
        </x:is>
      </x:c>
      <x:c r="B51" s="6" t="str">
        <x:f>Emergent_Rows!A13</x:f>
        <x:v>N</x:v>
      </x:c>
      <x:c r="C51" s="6" t="str">
        <x:f>Emergent_Rows!B13</x:f>
        <x:v>Module 2</x:v>
      </x:c>
      <x:c r="D51" s="6">
        <x:f>IF(Emergent_Rows!C13="","",Emergent_Rows!C13)</x:f>
      </x:c>
      <x:c r="E51" s="6">
        <x:f>IF(Emergent_Rows!D13="","",Emergent_Rows!D13)</x:f>
      </x:c>
      <x:c r="F51" s="6" t="str">
        <x:f>Emergent_Rows!E13</x:f>
        <x:v>Secondary</x:v>
      </x:c>
      <x:c r="G51" s="6">
        <x:f>IF(Emergent_Rows!C13="","",Emergent_Rows!T13)</x:f>
      </x:c>
      <x:c r="H51" s="20" t="n"/>
      <x:c r="I51" s="6">
        <x:f>IF(OR($B51&lt;&gt;"Y",$H51="",$G51=""),"",ROUND($G51*$H51/4,2))</x:f>
      </x:c>
      <x:c r="J51" s="20" t="n"/>
      <x:c r="K51" s="20" t="n"/>
      <x:c r="L51" s="20" t="n"/>
    </x:row>
    <x:row r="52" ht="30" customHeight="1">
      <x:c r="A52" s="6" t="inlineStr">
        <x:is>
          <x:t xml:space="preserve">Emergent</x:t>
        </x:is>
      </x:c>
      <x:c r="B52" s="6" t="str">
        <x:f>Emergent_Rows!A14</x:f>
        <x:v>N</x:v>
      </x:c>
      <x:c r="C52" s="6" t="str">
        <x:f>Emergent_Rows!B14</x:f>
        <x:v>Module 2</x:v>
      </x:c>
      <x:c r="D52" s="6">
        <x:f>IF(Emergent_Rows!C14="","",Emergent_Rows!C14)</x:f>
      </x:c>
      <x:c r="E52" s="6">
        <x:f>IF(Emergent_Rows!D14="","",Emergent_Rows!D14)</x:f>
      </x:c>
      <x:c r="F52" s="6" t="str">
        <x:f>Emergent_Rows!E14</x:f>
        <x:v>Secondary</x:v>
      </x:c>
      <x:c r="G52" s="6">
        <x:f>IF(Emergent_Rows!C14="","",Emergent_Rows!T14)</x:f>
      </x:c>
      <x:c r="H52" s="20" t="n"/>
      <x:c r="I52" s="6">
        <x:f>IF(OR($B52&lt;&gt;"Y",$H52="",$G52=""),"",ROUND($G52*$H52/4,2))</x:f>
      </x:c>
      <x:c r="J52" s="20" t="n"/>
      <x:c r="K52" s="20" t="n"/>
      <x:c r="L52" s="20" t="n"/>
    </x:row>
    <x:row r="53" ht="30" customHeight="1">
      <x:c r="A53" s="6" t="inlineStr">
        <x:is>
          <x:t xml:space="preserve">Emergent</x:t>
        </x:is>
      </x:c>
      <x:c r="B53" s="6" t="str">
        <x:f>Emergent_Rows!A15</x:f>
        <x:v>N</x:v>
      </x:c>
      <x:c r="C53" s="6" t="str">
        <x:f>Emergent_Rows!B15</x:f>
        <x:v>Module 2</x:v>
      </x:c>
      <x:c r="D53" s="6">
        <x:f>IF(Emergent_Rows!C15="","",Emergent_Rows!C15)</x:f>
      </x:c>
      <x:c r="E53" s="6">
        <x:f>IF(Emergent_Rows!D15="","",Emergent_Rows!D15)</x:f>
      </x:c>
      <x:c r="F53" s="6" t="str">
        <x:f>Emergent_Rows!E15</x:f>
        <x:v>Secondary</x:v>
      </x:c>
      <x:c r="G53" s="6">
        <x:f>IF(Emergent_Rows!C15="","",Emergent_Rows!T15)</x:f>
      </x:c>
      <x:c r="H53" s="20" t="n"/>
      <x:c r="I53" s="6">
        <x:f>IF(OR($B53&lt;&gt;"Y",$H53="",$G53=""),"",ROUND($G53*$H53/4,2))</x:f>
      </x:c>
      <x:c r="J53" s="20" t="n"/>
      <x:c r="K53" s="20" t="n"/>
      <x:c r="L53" s="20" t="n"/>
    </x:row>
    <x:row r="54" ht="30" customHeight="1">
      <x:c r="A54" s="6" t="inlineStr">
        <x:is>
          <x:t xml:space="preserve">Emergent</x:t>
        </x:is>
      </x:c>
      <x:c r="B54" s="6" t="str">
        <x:f>Emergent_Rows!A16</x:f>
        <x:v>N</x:v>
      </x:c>
      <x:c r="C54" s="6" t="str">
        <x:f>Emergent_Rows!B16</x:f>
        <x:v>Module 2</x:v>
      </x:c>
      <x:c r="D54" s="6">
        <x:f>IF(Emergent_Rows!C16="","",Emergent_Rows!C16)</x:f>
      </x:c>
      <x:c r="E54" s="6">
        <x:f>IF(Emergent_Rows!D16="","",Emergent_Rows!D16)</x:f>
      </x:c>
      <x:c r="F54" s="6" t="str">
        <x:f>Emergent_Rows!E16</x:f>
        <x:v>Secondary</x:v>
      </x:c>
      <x:c r="G54" s="6">
        <x:f>IF(Emergent_Rows!C16="","",Emergent_Rows!T16)</x:f>
      </x:c>
      <x:c r="H54" s="20" t="n"/>
      <x:c r="I54" s="6">
        <x:f>IF(OR($B54&lt;&gt;"Y",$H54="",$G54=""),"",ROUND($G54*$H54/4,2))</x:f>
      </x:c>
      <x:c r="J54" s="20" t="n"/>
      <x:c r="K54" s="20" t="n"/>
      <x:c r="L54" s="20" t="n"/>
    </x:row>
    <x:row r="55" ht="30" customHeight="1">
      <x:c r="A55" s="6" t="inlineStr">
        <x:is>
          <x:t xml:space="preserve">Emergent</x:t>
        </x:is>
      </x:c>
      <x:c r="B55" s="6" t="str">
        <x:f>Emergent_Rows!A17</x:f>
        <x:v>N</x:v>
      </x:c>
      <x:c r="C55" s="6" t="str">
        <x:f>Emergent_Rows!B17</x:f>
        <x:v>Module 3</x:v>
      </x:c>
      <x:c r="D55" s="6">
        <x:f>IF(Emergent_Rows!C17="","",Emergent_Rows!C17)</x:f>
      </x:c>
      <x:c r="E55" s="6">
        <x:f>IF(Emergent_Rows!D17="","",Emergent_Rows!D17)</x:f>
      </x:c>
      <x:c r="F55" s="6" t="str">
        <x:f>Emergent_Rows!E17</x:f>
        <x:v>Fallback</x:v>
      </x:c>
      <x:c r="G55" s="6">
        <x:f>IF(Emergent_Rows!C17="","",Emergent_Rows!T17)</x:f>
      </x:c>
      <x:c r="H55" s="20" t="n"/>
      <x:c r="I55" s="6">
        <x:f>IF(OR($B55&lt;&gt;"Y",$H55="",$G55=""),"",ROUND($G55*$H55/4,2))</x:f>
      </x:c>
      <x:c r="J55" s="20" t="n"/>
      <x:c r="K55" s="20" t="n"/>
      <x:c r="L55" s="20" t="n"/>
    </x:row>
    <x:row r="56" ht="30" customHeight="1">
      <x:c r="A56" s="6" t="inlineStr">
        <x:is>
          <x:t xml:space="preserve">Emergent</x:t>
        </x:is>
      </x:c>
      <x:c r="B56" s="6" t="str">
        <x:f>Emergent_Rows!A18</x:f>
        <x:v>N</x:v>
      </x:c>
      <x:c r="C56" s="6" t="str">
        <x:f>Emergent_Rows!B18</x:f>
        <x:v>Module 3</x:v>
      </x:c>
      <x:c r="D56" s="6">
        <x:f>IF(Emergent_Rows!C18="","",Emergent_Rows!C18)</x:f>
      </x:c>
      <x:c r="E56" s="6">
        <x:f>IF(Emergent_Rows!D18="","",Emergent_Rows!D18)</x:f>
      </x:c>
      <x:c r="F56" s="6" t="str">
        <x:f>Emergent_Rows!E18</x:f>
        <x:v>Fallback</x:v>
      </x:c>
      <x:c r="G56" s="6">
        <x:f>IF(Emergent_Rows!C18="","",Emergent_Rows!T18)</x:f>
      </x:c>
      <x:c r="H56" s="20" t="n"/>
      <x:c r="I56" s="6">
        <x:f>IF(OR($B56&lt;&gt;"Y",$H56="",$G56=""),"",ROUND($G56*$H56/4,2))</x:f>
      </x:c>
      <x:c r="J56" s="20" t="n"/>
      <x:c r="K56" s="20" t="n"/>
      <x:c r="L56" s="20" t="n"/>
    </x:row>
    <x:row r="57" ht="30" customHeight="1">
      <x:c r="A57" s="6" t="inlineStr">
        <x:is>
          <x:t xml:space="preserve">Emergent</x:t>
        </x:is>
      </x:c>
      <x:c r="B57" s="6" t="str">
        <x:f>Emergent_Rows!A19</x:f>
        <x:v>N</x:v>
      </x:c>
      <x:c r="C57" s="6" t="str">
        <x:f>Emergent_Rows!B19</x:f>
        <x:v>Module 3</x:v>
      </x:c>
      <x:c r="D57" s="6">
        <x:f>IF(Emergent_Rows!C19="","",Emergent_Rows!C19)</x:f>
      </x:c>
      <x:c r="E57" s="6">
        <x:f>IF(Emergent_Rows!D19="","",Emergent_Rows!D19)</x:f>
      </x:c>
      <x:c r="F57" s="6" t="str">
        <x:f>Emergent_Rows!E19</x:f>
        <x:v>Fallback</x:v>
      </x:c>
      <x:c r="G57" s="6">
        <x:f>IF(Emergent_Rows!C19="","",Emergent_Rows!T19)</x:f>
      </x:c>
      <x:c r="H57" s="20" t="n"/>
      <x:c r="I57" s="6">
        <x:f>IF(OR($B57&lt;&gt;"Y",$H57="",$G57=""),"",ROUND($G57*$H57/4,2))</x:f>
      </x:c>
      <x:c r="J57" s="20" t="n"/>
      <x:c r="K57" s="20" t="n"/>
      <x:c r="L57" s="20" t="n"/>
    </x:row>
    <x:row r="58" ht="30" customHeight="1">
      <x:c r="A58" s="6" t="inlineStr">
        <x:is>
          <x:t xml:space="preserve">Emergent</x:t>
        </x:is>
      </x:c>
      <x:c r="B58" s="6" t="str">
        <x:f>Emergent_Rows!A20</x:f>
        <x:v>N</x:v>
      </x:c>
      <x:c r="C58" s="6" t="str">
        <x:f>Emergent_Rows!B20</x:f>
        <x:v>Module 3</x:v>
      </x:c>
      <x:c r="D58" s="6">
        <x:f>IF(Emergent_Rows!C20="","",Emergent_Rows!C20)</x:f>
      </x:c>
      <x:c r="E58" s="6">
        <x:f>IF(Emergent_Rows!D20="","",Emergent_Rows!D20)</x:f>
      </x:c>
      <x:c r="F58" s="6" t="str">
        <x:f>Emergent_Rows!E20</x:f>
        <x:v>Fallback</x:v>
      </x:c>
      <x:c r="G58" s="6">
        <x:f>IF(Emergent_Rows!C20="","",Emergent_Rows!T20)</x:f>
      </x:c>
      <x:c r="H58" s="20" t="n"/>
      <x:c r="I58" s="6">
        <x:f>IF(OR($B58&lt;&gt;"Y",$H58="",$G58=""),"",ROUND($G58*$H58/4,2))</x:f>
      </x:c>
      <x:c r="J58" s="20" t="n"/>
      <x:c r="K58" s="20" t="n"/>
      <x:c r="L58" s="20" t="n"/>
    </x:row>
    <x:row r="59" ht="30" customHeight="1">
      <x:c r="A59" s="6" t="inlineStr">
        <x:is>
          <x:t xml:space="preserve">Emergent</x:t>
        </x:is>
      </x:c>
      <x:c r="B59" s="6" t="str">
        <x:f>Emergent_Rows!A21</x:f>
        <x:v>N</x:v>
      </x:c>
      <x:c r="C59" s="6" t="str">
        <x:f>Emergent_Rows!B21</x:f>
        <x:v>Module 3</x:v>
      </x:c>
      <x:c r="D59" s="6">
        <x:f>IF(Emergent_Rows!C21="","",Emergent_Rows!C21)</x:f>
      </x:c>
      <x:c r="E59" s="6">
        <x:f>IF(Emergent_Rows!D21="","",Emergent_Rows!D21)</x:f>
      </x:c>
      <x:c r="F59" s="6" t="str">
        <x:f>Emergent_Rows!E21</x:f>
        <x:v>Fallback</x:v>
      </x:c>
      <x:c r="G59" s="6">
        <x:f>IF(Emergent_Rows!C21="","",Emergent_Rows!T21)</x:f>
      </x:c>
      <x:c r="H59" s="20" t="n"/>
      <x:c r="I59" s="6">
        <x:f>IF(OR($B59&lt;&gt;"Y",$H59="",$G59=""),"",ROUND($G59*$H59/4,2))</x:f>
      </x:c>
      <x:c r="J59" s="20" t="n"/>
      <x:c r="K59" s="20" t="n"/>
      <x:c r="L59" s="20" t="n"/>
    </x:row>
    <x:row r="60" ht="30" customHeight="1">
      <x:c r="A60" s="6" t="inlineStr">
        <x:is>
          <x:t xml:space="preserve">Emergent</x:t>
        </x:is>
      </x:c>
      <x:c r="B60" s="6" t="str">
        <x:f>Emergent_Rows!A22</x:f>
        <x:v>N</x:v>
      </x:c>
      <x:c r="C60" s="6" t="str">
        <x:f>Emergent_Rows!B22</x:f>
        <x:v>Module 3</x:v>
      </x:c>
      <x:c r="D60" s="6">
        <x:f>IF(Emergent_Rows!C22="","",Emergent_Rows!C22)</x:f>
      </x:c>
      <x:c r="E60" s="6">
        <x:f>IF(Emergent_Rows!D22="","",Emergent_Rows!D22)</x:f>
      </x:c>
      <x:c r="F60" s="6" t="str">
        <x:f>Emergent_Rows!E22</x:f>
        <x:v>Fallback</x:v>
      </x:c>
      <x:c r="G60" s="6">
        <x:f>IF(Emergent_Rows!C22="","",Emergent_Rows!T22)</x:f>
      </x:c>
      <x:c r="H60" s="20" t="n"/>
      <x:c r="I60" s="6">
        <x:f>IF(OR($B60&lt;&gt;"Y",$H60="",$G60=""),"",ROUND($G60*$H60/4,2))</x:f>
      </x:c>
      <x:c r="J60" s="20" t="n"/>
      <x:c r="K60" s="20" t="n"/>
      <x:c r="L60" s="20" t="n"/>
    </x:row>
    <x:row r="61" ht="30" customHeight="1">
      <x:c r="A61" s="6" t="inlineStr">
        <x:is>
          <x:t xml:space="preserve">Emergent</x:t>
        </x:is>
      </x:c>
      <x:c r="B61" s="6" t="str">
        <x:f>Emergent_Rows!A23</x:f>
        <x:v>N</x:v>
      </x:c>
      <x:c r="C61" s="6" t="str">
        <x:f>Emergent_Rows!B23</x:f>
        <x:v>Module 4</x:v>
      </x:c>
      <x:c r="D61" s="6">
        <x:f>IF(Emergent_Rows!C23="","",Emergent_Rows!C23)</x:f>
      </x:c>
      <x:c r="E61" s="6">
        <x:f>IF(Emergent_Rows!D23="","",Emergent_Rows!D23)</x:f>
      </x:c>
      <x:c r="F61" s="6" t="str">
        <x:f>Emergent_Rows!E23</x:f>
        <x:v>Cross-cutting</x:v>
      </x:c>
      <x:c r="G61" s="6">
        <x:f>IF(Emergent_Rows!C23="","",Emergent_Rows!T23)</x:f>
      </x:c>
      <x:c r="H61" s="20" t="n"/>
      <x:c r="I61" s="6">
        <x:f>IF(OR($B61&lt;&gt;"Y",$H61="",$G61=""),"",ROUND($G61*$H61/4,2))</x:f>
      </x:c>
      <x:c r="J61" s="20" t="n"/>
      <x:c r="K61" s="20" t="n"/>
      <x:c r="L61" s="20" t="n"/>
    </x:row>
    <x:row r="62" ht="30" customHeight="1">
      <x:c r="A62" s="6" t="inlineStr">
        <x:is>
          <x:t xml:space="preserve">Emergent</x:t>
        </x:is>
      </x:c>
      <x:c r="B62" s="6" t="str">
        <x:f>Emergent_Rows!A24</x:f>
        <x:v>N</x:v>
      </x:c>
      <x:c r="C62" s="6" t="str">
        <x:f>Emergent_Rows!B24</x:f>
        <x:v>Module 4</x:v>
      </x:c>
      <x:c r="D62" s="6">
        <x:f>IF(Emergent_Rows!C24="","",Emergent_Rows!C24)</x:f>
      </x:c>
      <x:c r="E62" s="6">
        <x:f>IF(Emergent_Rows!D24="","",Emergent_Rows!D24)</x:f>
      </x:c>
      <x:c r="F62" s="6" t="str">
        <x:f>Emergent_Rows!E24</x:f>
        <x:v>Cross-cutting</x:v>
      </x:c>
      <x:c r="G62" s="6">
        <x:f>IF(Emergent_Rows!C24="","",Emergent_Rows!T24)</x:f>
      </x:c>
      <x:c r="H62" s="20" t="n"/>
      <x:c r="I62" s="6">
        <x:f>IF(OR($B62&lt;&gt;"Y",$H62="",$G62=""),"",ROUND($G62*$H62/4,2))</x:f>
      </x:c>
      <x:c r="J62" s="20" t="n"/>
      <x:c r="K62" s="20" t="n"/>
      <x:c r="L62" s="20" t="n"/>
    </x:row>
    <x:row r="63" ht="30" customHeight="1">
      <x:c r="A63" s="6" t="inlineStr">
        <x:is>
          <x:t xml:space="preserve">Emergent</x:t>
        </x:is>
      </x:c>
      <x:c r="B63" s="6" t="str">
        <x:f>Emergent_Rows!A25</x:f>
        <x:v>N</x:v>
      </x:c>
      <x:c r="C63" s="6" t="str">
        <x:f>Emergent_Rows!B25</x:f>
        <x:v>Module 4</x:v>
      </x:c>
      <x:c r="D63" s="6">
        <x:f>IF(Emergent_Rows!C25="","",Emergent_Rows!C25)</x:f>
      </x:c>
      <x:c r="E63" s="6">
        <x:f>IF(Emergent_Rows!D25="","",Emergent_Rows!D25)</x:f>
      </x:c>
      <x:c r="F63" s="6" t="str">
        <x:f>Emergent_Rows!E25</x:f>
        <x:v>Cross-cutting</x:v>
      </x:c>
      <x:c r="G63" s="6">
        <x:f>IF(Emergent_Rows!C25="","",Emergent_Rows!T25)</x:f>
      </x:c>
      <x:c r="H63" s="20" t="n"/>
      <x:c r="I63" s="6">
        <x:f>IF(OR($B63&lt;&gt;"Y",$H63="",$G63=""),"",ROUND($G63*$H63/4,2))</x:f>
      </x:c>
      <x:c r="J63" s="20" t="n"/>
      <x:c r="K63" s="20" t="n"/>
      <x:c r="L63" s="20" t="n"/>
    </x:row>
    <x:row r="64" ht="30" customHeight="1">
      <x:c r="A64" s="6" t="inlineStr">
        <x:is>
          <x:t xml:space="preserve">Emergent</x:t>
        </x:is>
      </x:c>
      <x:c r="B64" s="6" t="str">
        <x:f>Emergent_Rows!A26</x:f>
        <x:v>N</x:v>
      </x:c>
      <x:c r="C64" s="6" t="str">
        <x:f>Emergent_Rows!B26</x:f>
        <x:v>Module 4</x:v>
      </x:c>
      <x:c r="D64" s="6">
        <x:f>IF(Emergent_Rows!C26="","",Emergent_Rows!C26)</x:f>
      </x:c>
      <x:c r="E64" s="6">
        <x:f>IF(Emergent_Rows!D26="","",Emergent_Rows!D26)</x:f>
      </x:c>
      <x:c r="F64" s="6" t="str">
        <x:f>Emergent_Rows!E26</x:f>
        <x:v>Cross-cutting</x:v>
      </x:c>
      <x:c r="G64" s="6">
        <x:f>IF(Emergent_Rows!C26="","",Emergent_Rows!T26)</x:f>
      </x:c>
      <x:c r="H64" s="20" t="n"/>
      <x:c r="I64" s="6">
        <x:f>IF(OR($B64&lt;&gt;"Y",$H64="",$G64=""),"",ROUND($G64*$H64/4,2))</x:f>
      </x:c>
      <x:c r="J64" s="20" t="n"/>
      <x:c r="K64" s="20" t="n"/>
      <x:c r="L64" s="20" t="n"/>
    </x:row>
    <x:row r="65" ht="30" customHeight="1">
      <x:c r="A65" s="6" t="inlineStr">
        <x:is>
          <x:t xml:space="preserve">Emergent</x:t>
        </x:is>
      </x:c>
      <x:c r="B65" s="6" t="str">
        <x:f>Emergent_Rows!A27</x:f>
        <x:v>N</x:v>
      </x:c>
      <x:c r="C65" s="6" t="str">
        <x:f>Emergent_Rows!B27</x:f>
        <x:v>Module 4</x:v>
      </x:c>
      <x:c r="D65" s="6">
        <x:f>IF(Emergent_Rows!C27="","",Emergent_Rows!C27)</x:f>
      </x:c>
      <x:c r="E65" s="6">
        <x:f>IF(Emergent_Rows!D27="","",Emergent_Rows!D27)</x:f>
      </x:c>
      <x:c r="F65" s="6" t="str">
        <x:f>Emergent_Rows!E27</x:f>
        <x:v>Cross-cutting</x:v>
      </x:c>
      <x:c r="G65" s="6">
        <x:f>IF(Emergent_Rows!C27="","",Emergent_Rows!T27)</x:f>
      </x:c>
      <x:c r="H65" s="20" t="n"/>
      <x:c r="I65" s="6">
        <x:f>IF(OR($B65&lt;&gt;"Y",$H65="",$G65=""),"",ROUND($G65*$H65/4,2))</x:f>
      </x:c>
      <x:c r="J65" s="20" t="n"/>
      <x:c r="K65" s="20" t="n"/>
      <x:c r="L65" s="20" t="n"/>
    </x:row>
    <x:row r="66" ht="30" customHeight="1">
      <x:c r="A66" s="6" t="inlineStr">
        <x:is>
          <x:t xml:space="preserve">Emergent</x:t>
        </x:is>
      </x:c>
      <x:c r="B66" s="6" t="str">
        <x:f>Emergent_Rows!A28</x:f>
        <x:v>N</x:v>
      </x:c>
      <x:c r="C66" s="6" t="str">
        <x:f>Emergent_Rows!B28</x:f>
        <x:v>Module 4</x:v>
      </x:c>
      <x:c r="D66" s="6">
        <x:f>IF(Emergent_Rows!C28="","",Emergent_Rows!C28)</x:f>
      </x:c>
      <x:c r="E66" s="6">
        <x:f>IF(Emergent_Rows!D28="","",Emergent_Rows!D28)</x:f>
      </x:c>
      <x:c r="F66" s="6" t="str">
        <x:f>Emergent_Rows!E28</x:f>
        <x:v>Cross-cutting</x:v>
      </x:c>
      <x:c r="G66" s="6">
        <x:f>IF(Emergent_Rows!C28="","",Emergent_Rows!T28)</x:f>
      </x:c>
      <x:c r="H66" s="20" t="n"/>
      <x:c r="I66" s="6">
        <x:f>IF(OR($B66&lt;&gt;"Y",$H66="",$G66=""),"",ROUND($G66*$H66/4,2))</x:f>
      </x:c>
      <x:c r="J66" s="20" t="n"/>
      <x:c r="K66" s="20" t="n"/>
      <x:c r="L66" s="20" t="n"/>
    </x:row>
    <x:row r="67" ht="22" customHeight="1"/>
    <x:row r="68" ht="22" customHeight="1">
      <x:c r="A68" s="24" t="inlineStr">
        <x:is>
          <x:t xml:space="preserve">Scoring summary</x:t>
        </x:is>
      </x:c>
      <x:c r="B68" s="3" t="n"/>
      <x:c r="C68" s="3" t="n"/>
      <x:c r="D68" s="3" t="n"/>
      <x:c r="E68" s="3" t="n"/>
      <x:c r="F68" s="3" t="n"/>
      <x:c r="G68" s="3" t="n"/>
      <x:c r="H68" s="3" t="n"/>
      <x:c r="I68" s="3" t="n"/>
      <x:c r="J68" s="3" t="n"/>
      <x:c r="K68" s="3" t="n"/>
      <x:c r="L68" s="3" t="n"/>
    </x:row>
    <x:row r="69" ht="22" customHeight="1">
      <x:c r="A69" s="6" t="inlineStr">
        <x:is>
          <x:t xml:space="preserve">Scored anchor contribution</x:t>
        </x:is>
      </x:c>
      <x:c r="B69" s="20">
        <x:f>SUM(I5:I40)</x:f>
        <x:v>0</x:v>
      </x:c>
    </x:row>
    <x:row r="70" ht="22" customHeight="1">
      <x:c r="A70" s="6" t="inlineStr">
        <x:is>
          <x:t xml:space="preserve">Scored emergent contribution</x:t>
        </x:is>
      </x:c>
      <x:c r="B70" s="20">
        <x:f>SUM(I42:I66)</x:f>
        <x:v>0</x:v>
      </x:c>
    </x:row>
    <x:row r="71" ht="22" customHeight="1">
      <x:c r="A71" s="6" t="inlineStr">
        <x:is>
          <x:t xml:space="preserve">Subtotal</x:t>
        </x:is>
      </x:c>
      <x:c r="B71" s="20">
        <x:f>SUM(B69:B70)</x:f>
        <x:v>0</x:v>
      </x:c>
    </x:row>
    <x:row r="72" ht="22" customHeight="1">
      <x:c r="A72" s="6" t="inlineStr">
        <x:is>
          <x:t xml:space="preserve">Module 1 subtotal</x:t>
        </x:is>
      </x:c>
      <x:c r="B72" s="20">
        <x:f>SUMIFS($I$5:$I$66,$C$5:$C$66,"Module 1")</x:f>
        <x:v>0</x:v>
      </x:c>
    </x:row>
    <x:row r="73" ht="22" customHeight="1">
      <x:c r="A73" s="6" t="inlineStr">
        <x:is>
          <x:t xml:space="preserve">Module 2 subtotal</x:t>
        </x:is>
      </x:c>
      <x:c r="B73" s="20">
        <x:f>SUMIFS($I$5:$I$66,$C$5:$C$66,"Module 2")</x:f>
        <x:v>0</x:v>
      </x:c>
    </x:row>
    <x:row r="74" ht="22" customHeight="1">
      <x:c r="A74" s="6" t="inlineStr">
        <x:is>
          <x:t xml:space="preserve">Module 3 subtotal</x:t>
        </x:is>
      </x:c>
      <x:c r="B74" s="20">
        <x:f>SUMIFS($I$5:$I$66,$C$5:$C$66,"Module 3")</x:f>
        <x:v>0</x:v>
      </x:c>
    </x:row>
    <x:row r="75" ht="22" customHeight="1">
      <x:c r="A75" s="6" t="inlineStr">
        <x:is>
          <x:t xml:space="preserve">Module 4 subtotal</x:t>
        </x:is>
      </x:c>
      <x:c r="B75" s="20">
        <x:f>SUMIFS($I$5:$I$66,$C$5:$C$66,"Module 4")</x:f>
        <x:v>0</x:v>
      </x:c>
    </x:row>
  </x:sheetData>
  <x:mergeCells>
    <x:mergeCell ref="A41:L41"/>
    <x:mergeCell ref="A3:L3"/>
    <x:mergeCell ref="A68:L68"/>
    <x:mergeCell ref="A1:L1"/>
  </x:mergeCells>
  <x:dataValidations count="1">
    <x:dataValidation type="list" allowBlank="1" showDropDown="0" showInputMessage="0" showErrorMessage="0" sqref="H5 H6 H7 H8 H9 H10 H11 H12 H13 H14 H15 H16 H17 H18 H19 H20 H21 H22 H23 H24 H25 H26 H27 H28 H29 H30 H31 H32 H33 H34 H35 H36 H37 H38 H39 H40 H42 H43 H44 H45 H46 H47 H48 H49 H50 H51 H52 H53 H54 H55 H56 H57 H58 H59 H60 H61 H62 H63 H64 H65 H66">
      <x:formula1>"0,1,2,3,4"</x:formula1>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0" customWidth="1"/>
    <x:col min="2" max="2" width="34" customWidth="1"/>
    <x:col min="3" max="3" width="14" customWidth="1"/>
    <x:col min="4" max="4" width="14" customWidth="1"/>
    <x:col min="5" max="5" width="44" customWidth="1"/>
    <x:col min="6" max="6" width="22" customWidth="1"/>
  </x:cols>
  <x:sheetData>
    <x:row r="1" ht="26" customHeight="1">
      <x:c r="A1" s="1" t="inlineStr">
        <x:is>
          <x:t xml:space="preserve">Cross-pack overlays, penalties, and caps</x:t>
        </x:is>
      </x:c>
    </x:row>
    <x:row r="2" ht="22" customHeight="1"/>
    <x:row r="3" ht="22" customHeight="1">
      <x:c r="A3" s="24" t="inlineStr">
        <x:is>
          <x:t xml:space="preserve">Apply overlays only after row scoring. Use at most one cap.</x:t>
        </x:is>
      </x:c>
      <x:c r="B3" s="3" t="n"/>
      <x:c r="C3" s="3" t="n"/>
      <x:c r="D3" s="3" t="n"/>
      <x:c r="E3" s="3" t="n"/>
      <x:c r="F3" s="3" t="n"/>
    </x:row>
    <x:row r="4" ht="22" customHeight="1">
      <x:c r="A4" s="11" t="inlineStr">
        <x:is>
          <x:t xml:space="preserve">Apply?</x:t>
        </x:is>
      </x:c>
      <x:c r="B4" s="11" t="inlineStr">
        <x:is>
          <x:t xml:space="preserve">Code</x:t>
        </x:is>
      </x:c>
      <x:c r="C4" s="11" t="inlineStr">
        <x:is>
          <x:t xml:space="preserve">Default Points</x:t>
        </x:is>
      </x:c>
      <x:c r="D4" s="11" t="inlineStr">
        <x:is>
          <x:t xml:space="preserve">Applied Points</x:t>
        </x:is>
      </x:c>
      <x:c r="E4" s="11" t="inlineStr">
        <x:is>
          <x:t xml:space="preserve">Use when</x:t>
        </x:is>
      </x:c>
      <x:c r="F4" s="11" t="inlineStr">
        <x:is>
          <x:t xml:space="preserve">Notes</x:t>
        </x:is>
      </x:c>
    </x:row>
    <x:row r="5" ht="22" customHeight="1">
      <x:c r="A5" s="20" t="inlineStr">
        <x:is>
          <x:t xml:space="preserve">N</x:t>
        </x:is>
      </x:c>
      <x:c r="B5" s="6" t="inlineStr">
        <x:is>
          <x:t xml:space="preserve">P_ControllingDoctrineOmitted</x:t>
        </x:is>
      </x:c>
      <x:c r="C5" s="26" t="n">
        <x:v>-15</x:v>
      </x:c>
      <x:c r="D5" s="26">
        <x:f>IF($A5="Y",$C5,0)</x:f>
        <x:v>0</x:v>
      </x:c>
      <x:c r="E5" s="6" t="inlineStr">
        <x:is>
          <x:t xml:space="preserve"/>
        </x:is>
      </x:c>
    </x:row>
    <x:row r="6" ht="22" customHeight="1">
      <x:c r="A6" s="20" t="inlineStr">
        <x:is>
          <x:t xml:space="preserve">N</x:t>
        </x:is>
      </x:c>
      <x:c r="B6" s="6" t="inlineStr">
        <x:is>
          <x:t xml:space="preserve">P_WrongPackDriver</x:t>
        </x:is>
      </x:c>
      <x:c r="C6" s="26" t="n">
        <x:v>-15</x:v>
      </x:c>
      <x:c r="D6" s="26">
        <x:f>IF($A6="Y",$C6,0)</x:f>
        <x:v>0</x:v>
      </x:c>
      <x:c r="E6" s="6" t="inlineStr">
        <x:is>
          <x:t xml:space="preserve"/>
        </x:is>
      </x:c>
    </x:row>
    <x:row r="7" ht="22" customHeight="1">
      <x:c r="A7" s="20" t="inlineStr">
        <x:is>
          <x:t xml:space="preserve">N</x:t>
        </x:is>
      </x:c>
      <x:c r="B7" s="6" t="inlineStr">
        <x:is>
          <x:t xml:space="preserve">P_MaterialRuleMisstatement</x:t>
        </x:is>
      </x:c>
      <x:c r="C7" s="26" t="n">
        <x:v>-10</x:v>
      </x:c>
      <x:c r="D7" s="26">
        <x:f>IF($A7="Y",$C7,0)</x:f>
        <x:v>0</x:v>
      </x:c>
      <x:c r="E7" s="6" t="inlineStr">
        <x:is>
          <x:t xml:space="preserve"/>
        </x:is>
      </x:c>
    </x:row>
    <x:row r="8" ht="22" customHeight="1">
      <x:c r="A8" s="20" t="inlineStr">
        <x:is>
          <x:t xml:space="preserve">N</x:t>
        </x:is>
      </x:c>
      <x:c r="B8" s="6" t="inlineStr">
        <x:is>
          <x:t xml:space="preserve">P_MaterialFactOrRoleOrTimelineError</x:t>
        </x:is>
      </x:c>
      <x:c r="C8" s="26" t="n">
        <x:v>-10</x:v>
      </x:c>
      <x:c r="D8" s="26">
        <x:f>IF($A8="Y",$C8,0)</x:f>
        <x:v>0</x:v>
      </x:c>
      <x:c r="E8" s="6" t="inlineStr">
        <x:is>
          <x:t xml:space="preserve"/>
        </x:is>
      </x:c>
    </x:row>
    <x:row r="9" ht="22" customHeight="1">
      <x:c r="A9" s="20" t="inlineStr">
        <x:is>
          <x:t xml:space="preserve">N</x:t>
        </x:is>
      </x:c>
      <x:c r="B9" s="6" t="inlineStr">
        <x:is>
          <x:t xml:space="preserve">P_InventedComplianceFact</x:t>
        </x:is>
      </x:c>
      <x:c r="C9" s="26" t="n">
        <x:v>-10</x:v>
      </x:c>
      <x:c r="D9" s="26">
        <x:f>IF($A9="Y",$C9,0)</x:f>
        <x:v>0</x:v>
      </x:c>
      <x:c r="E9" s="6" t="inlineStr">
        <x:is>
          <x:t xml:space="preserve"/>
        </x:is>
      </x:c>
    </x:row>
    <x:row r="10" ht="22" customHeight="1">
      <x:c r="A10" s="20" t="inlineStr">
        <x:is>
          <x:t xml:space="preserve">N</x:t>
        </x:is>
      </x:c>
      <x:c r="B10" s="6" t="inlineStr">
        <x:is>
          <x:t xml:space="preserve">P_ExceptionBleedOver</x:t>
        </x:is>
      </x:c>
      <x:c r="C10" s="26" t="n">
        <x:v>-10</x:v>
      </x:c>
      <x:c r="D10" s="26">
        <x:f>IF($A10="Y",$C10,0)</x:f>
        <x:v>0</x:v>
      </x:c>
      <x:c r="E10" s="6" t="inlineStr">
        <x:is>
          <x:t xml:space="preserve"/>
        </x:is>
      </x:c>
    </x:row>
    <x:row r="11" ht="22" customHeight="1">
      <x:c r="A11" s="20" t="inlineStr">
        <x:is>
          <x:t xml:space="preserve">N</x:t>
        </x:is>
      </x:c>
      <x:c r="B11" s="6" t="inlineStr">
        <x:is>
          <x:t xml:space="preserve">P_IrrelevantDoctrine</x:t>
        </x:is>
      </x:c>
      <x:c r="C11" s="26" t="n">
        <x:v>-5</x:v>
      </x:c>
      <x:c r="D11" s="26">
        <x:f>IF($A11="Y",$C11,0)</x:f>
        <x:v>0</x:v>
      </x:c>
      <x:c r="E11" s="6" t="inlineStr">
        <x:is>
          <x:t xml:space="preserve"/>
        </x:is>
      </x:c>
    </x:row>
    <x:row r="12" ht="22" customHeight="1">
      <x:c r="A12" s="20" t="inlineStr">
        <x:is>
          <x:t xml:space="preserve">N</x:t>
        </x:is>
      </x:c>
      <x:c r="B12" s="6" t="inlineStr">
        <x:is>
          <x:t xml:space="preserve">P_ExcessiveHedging</x:t>
        </x:is>
      </x:c>
      <x:c r="C12" s="26" t="n">
        <x:v>-5</x:v>
      </x:c>
      <x:c r="D12" s="26">
        <x:f>IF($A12="Y",$C12,0)</x:f>
        <x:v>0</x:v>
      </x:c>
      <x:c r="E12" s="6" t="inlineStr">
        <x:is>
          <x:t xml:space="preserve"/>
        </x:is>
      </x:c>
    </x:row>
    <x:row r="13" ht="22" customHeight="1">
      <x:c r="A13" s="20" t="inlineStr">
        <x:is>
          <x:t xml:space="preserve">N</x:t>
        </x:is>
      </x:c>
      <x:c r="B13" s="6" t="inlineStr">
        <x:is>
          <x:t xml:space="preserve">P_RelianceByPerformance</x:t>
        </x:is>
      </x:c>
      <x:c r="C13" s="26" t="n">
        <x:v>-5</x:v>
      </x:c>
      <x:c r="D13" s="26">
        <x:f>IF($A13="Y",$C13,0)</x:f>
        <x:v>0</x:v>
      </x:c>
      <x:c r="E13" s="6" t="inlineStr">
        <x:is>
          <x:t xml:space="preserve"/>
        </x:is>
      </x:c>
    </x:row>
    <x:row r="14" ht="22" customHeight="1">
      <x:c r="A14" s="20" t="inlineStr">
        <x:is>
          <x:t xml:space="preserve">N</x:t>
        </x:is>
      </x:c>
      <x:c r="B14" s="6" t="inlineStr">
        <x:is>
          <x:t xml:space="preserve">P_JurisdictionDrift</x:t>
        </x:is>
      </x:c>
      <x:c r="C14" s="26" t="n">
        <x:v>-5</x:v>
      </x:c>
      <x:c r="D14" s="26">
        <x:f>IF($A14="Y",$C14,0)</x:f>
        <x:v>0</x:v>
      </x:c>
      <x:c r="E14" s="6" t="inlineStr">
        <x:is>
          <x:t xml:space="preserve"/>
        </x:is>
      </x:c>
    </x:row>
    <x:row r="15" ht="22" customHeight="1">
      <x:c r="A15" s="20" t="inlineStr">
        <x:is>
          <x:t xml:space="preserve">N</x:t>
        </x:is>
      </x:c>
      <x:c r="B15" s="6" t="inlineStr">
        <x:is>
          <x:t xml:space="preserve">P_FalseDefinitenessOnDesignedAmbiguity</x:t>
        </x:is>
      </x:c>
      <x:c r="C15" s="26" t="n">
        <x:v>-10</x:v>
      </x:c>
      <x:c r="D15" s="26">
        <x:f>IF($A15="Y",$C15,0)</x:f>
        <x:v>0</x:v>
      </x:c>
      <x:c r="E15" s="6" t="inlineStr">
        <x:is>
          <x:t xml:space="preserve">Lane B only</x:t>
        </x:is>
      </x:c>
    </x:row>
    <x:row r="16" ht="22" customHeight="1"/>
    <x:row r="17" ht="22" customHeight="1"/>
    <x:row r="18" ht="22" customHeight="1">
      <x:c r="A18" s="24" t="inlineStr">
        <x:is>
          <x:t xml:space="preserve">Cap selection</x:t>
        </x:is>
      </x:c>
      <x:c r="B18" s="3" t="n"/>
      <x:c r="C18" s="3" t="n"/>
      <x:c r="D18" s="3" t="n"/>
      <x:c r="E18" s="3" t="n"/>
      <x:c r="F18" s="3" t="n"/>
    </x:row>
    <x:row r="19" ht="22" customHeight="1">
      <x:c r="A19" s="6" t="inlineStr">
        <x:is>
          <x:t xml:space="preserve">Cap status</x:t>
        </x:is>
      </x:c>
      <x:c r="B19" s="20" t="inlineStr">
        <x:is>
          <x:t xml:space="preserve">No cap</x:t>
        </x:is>
      </x:c>
      <x:c r="C19" s="6" t="inlineStr">
        <x:is>
          <x:t xml:space="preserve">Cap value</x:t>
        </x:is>
      </x:c>
      <x:c r="D19" s="20">
        <x:f>IF(B19="No cap","",IF(B19="CAP_60_ControllingDoctrineOmitted",60,IF(B19="CAP_60_WrongPackDriver",60,IF(B19="CAP_70_NoClearConclusion",70,IF(B19="CAP_75_InventedCoreCompliance",75,IF(B19="CAP_75_FalseDefinitenessOnDesignedAmbiguity",75,""))))))</x:f>
      </x:c>
    </x:row>
    <x:row r="20" ht="22" customHeight="1">
      <x:c r="A20" s="6" t="inlineStr">
        <x:is>
          <x:t xml:space="preserve">Multiple caps plausible?</x:t>
        </x:is>
      </x:c>
      <x:c r="B20" s="20" t="inlineStr">
        <x:is>
          <x:t xml:space="preserve">No</x:t>
        </x:is>
      </x:c>
    </x:row>
    <x:row r="21" ht="22" customHeight="1">
      <x:c r="A21" s="6" t="inlineStr">
        <x:is>
          <x:t xml:space="preserve">Pack fit unstable?</x:t>
        </x:is>
      </x:c>
      <x:c r="B21" s="20" t="str">
        <x:f>IF(Prefill_Audit!B21="Escalate","Yes","No")</x:f>
        <x:v>No</x:v>
      </x:c>
    </x:row>
    <x:row r="22" ht="22" customHeight="1">
      <x:c r="A22" s="6" t="inlineStr">
        <x:is>
          <x:t xml:space="preserve">Major overlays applied</x:t>
        </x:is>
      </x:c>
      <x:c r="B22" s="20">
        <x:f>COUNTIF(A5:A11,"Y")</x:f>
        <x:v>0</x:v>
      </x:c>
    </x:row>
    <x:row r="23" ht="22" customHeight="1">
      <x:c r="A23" s="6" t="inlineStr">
        <x:is>
          <x:t xml:space="preserve">Total penalties</x:t>
        </x:is>
      </x:c>
      <x:c r="B23" s="20">
        <x:f>SUM(D5:D15)</x:f>
        <x:v>0</x:v>
      </x:c>
    </x:row>
    <x:row r="24" ht="22" customHeight="1">
      <x:c r="A24" s="6" t="inlineStr">
        <x:is>
          <x:t xml:space="preserve">Subtotal from row scoring</x:t>
        </x:is>
      </x:c>
      <x:c r="B24" s="20">
        <x:f>Row_Scoring!B71</x:f>
        <x:v>0</x:v>
      </x:c>
    </x:row>
    <x:row r="25" ht="22" customHeight="1">
      <x:c r="A25" s="6" t="inlineStr">
        <x:is>
          <x:t xml:space="preserve">Post-penalty score</x:t>
        </x:is>
      </x:c>
      <x:c r="B25" s="20">
        <x:f>MAX(0,MIN(100,B24+B23))</x:f>
        <x:v>0</x:v>
      </x:c>
    </x:row>
    <x:row r="26" ht="22" customHeight="1">
      <x:c r="A26" s="6" t="inlineStr">
        <x:is>
          <x:t xml:space="preserve">Final score after cap</x:t>
        </x:is>
      </x:c>
      <x:c r="B26" s="20">
        <x:f>IF(B19="No cap",B25,MIN(B25,D19))</x:f>
        <x:v>0</x:v>
      </x:c>
    </x:row>
    <x:row r="27" ht="22" customHeight="1">
      <x:c r="A27" s="6" t="inlineStr">
        <x:is>
          <x:t xml:space="preserve">Zak review flag</x:t>
        </x:is>
      </x:c>
      <x:c r="B27" s="20" t="str">
        <x:f>IF(OR(ABS(B23)&gt;20,B22&gt;=2,B20="Yes",B21="Yes",AND(B19&lt;&gt;"No cap",B19&lt;&gt;"")),"Yes","No")</x:f>
        <x:v>No</x:v>
      </x:c>
    </x:row>
  </x:sheetData>
  <x:mergeCells>
    <x:mergeCell ref="A3:F3"/>
    <x:mergeCell ref="A1:F1"/>
    <x:mergeCell ref="A18:F18"/>
  </x:mergeCells>
  <x:dataValidations count="3">
    <x:dataValidation type="list" allowBlank="0" showDropDown="0" showInputMessage="0" showErrorMessage="0" sqref="A5 A6 A7 A8 A9 A10 A11 A12 A13 A14 A15">
      <x:formula1>"Y,N"</x:formula1>
    </x:dataValidation>
    <x:dataValidation type="list" allowBlank="0" showDropDown="0" showInputMessage="0" showErrorMessage="0" sqref="B19">
      <x:formula1>"No cap,CAP_60_ControllingDoctrineOmitted,CAP_60_WrongPackDriver,CAP_70_NoClearConclusion,CAP_75_InventedCoreCompliance,CAP_75_FalseDefinitenessOnDesignedAmbiguity"</x:formula1>
    </x:dataValidation>
    <x:dataValidation type="list" allowBlank="0" showDropDown="0" showInputMessage="0" showErrorMessage="0" sqref="B20">
      <x:formula1>"Yes,No"</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30" customWidth="1"/>
    <x:col min="2" max="2" width="34" customWidth="1"/>
    <x:col min="3" max="3" width="30" customWidth="1"/>
    <x:col min="4" max="4" width="34" customWidth="1"/>
  </x:cols>
  <x:sheetData>
    <x:row r="1" ht="26" customHeight="1">
      <x:c r="A1" s="1" t="inlineStr">
        <x:is>
          <x:t xml:space="preserve">Final export fields</x:t>
        </x:is>
      </x:c>
    </x:row>
    <x:row r="2" ht="22" customHeight="1"/>
    <x:row r="3" ht="22" customHeight="1">
      <x:c r="A3" s="24" t="inlineStr">
        <x:is>
          <x:t xml:space="preserve">Packet and scoring summary</x:t>
        </x:is>
      </x:c>
      <x:c r="B3" s="3" t="n"/>
      <x:c r="C3" s="3" t="n"/>
      <x:c r="D3" s="3" t="n"/>
    </x:row>
    <x:row r="4" ht="22" customHeight="1"/>
    <x:row r="5" ht="22" customHeight="1">
      <x:c r="A5" s="6" t="inlineStr">
        <x:is>
          <x:t xml:space="preserve">selected_pack</x:t>
        </x:is>
      </x:c>
      <x:c r="B5" s="20">
        <x:f>IF(Prefill_Audit!$B$5="","",Prefill_Audit!$B$5)</x:f>
      </x:c>
    </x:row>
    <x:row r="6" ht="22" customHeight="1">
      <x:c r="A6" s="6" t="inlineStr">
        <x:is>
          <x:t xml:space="preserve">doctrine_family</x:t>
        </x:is>
      </x:c>
      <x:c r="B6" s="20">
        <x:f>IF(Prefill_Audit!$B$6="","",Prefill_Audit!$B$6)</x:f>
      </x:c>
    </x:row>
    <x:row r="7" ht="22" customHeight="1">
      <x:c r="A7" s="6" t="inlineStr">
        <x:is>
          <x:t xml:space="preserve">variation_lane</x:t>
        </x:is>
      </x:c>
      <x:c r="B7" s="20" t="str">
        <x:f>IF(Prefill_Audit!$B$7="","",Prefill_Audit!$B$7)</x:f>
        <x:v>A</x:v>
      </x:c>
    </x:row>
    <x:row r="8" ht="22" customHeight="1">
      <x:c r="A8" s="6" t="inlineStr">
        <x:is>
          <x:t xml:space="preserve">benchmark_posture</x:t>
        </x:is>
      </x:c>
      <x:c r="B8" s="20">
        <x:f>IF(Prefill_Audit!$B$8="","",Prefill_Audit!$B$8)</x:f>
      </x:c>
    </x:row>
    <x:row r="9" ht="22" customHeight="1">
      <x:c r="A9" s="6" t="inlineStr">
        <x:is>
          <x:t xml:space="preserve">jurisdiction_assumption</x:t>
        </x:is>
      </x:c>
      <x:c r="B9" s="20">
        <x:f>IF(Prefill_Audit!$B$11="","",Prefill_Audit!$B$11)</x:f>
      </x:c>
    </x:row>
    <x:row r="10" ht="22" customHeight="1">
      <x:c r="A10" s="6" t="inlineStr">
        <x:is>
          <x:t xml:space="preserve">likely_controlling_doctrine</x:t>
        </x:is>
      </x:c>
      <x:c r="B10" s="20">
        <x:f>IF(Prefill_Audit!$B$9="","",Prefill_Audit!$B$9)</x:f>
      </x:c>
    </x:row>
    <x:row r="11" ht="22" customHeight="1">
      <x:c r="A11" s="6" t="inlineStr">
        <x:is>
          <x:t xml:space="preserve">output_shell</x:t>
        </x:is>
      </x:c>
      <x:c r="B11" s="20" t="str">
        <x:f>IF(Prefill_Audit!$B$12="","",Prefill_Audit!$B$12)</x:f>
        <x:v>core_cross_pack_v1</x:v>
      </x:c>
    </x:row>
    <x:row r="12" ht="22" customHeight="1">
      <x:c r="A12" s="6" t="inlineStr">
        <x:is>
          <x:t xml:space="preserve">failure_bank</x:t>
        </x:is>
      </x:c>
      <x:c r="B12" s="20">
        <x:f>IF(Prefill_Audit!$B$15="","",Prefill_Audit!$B$15)</x:f>
      </x:c>
    </x:row>
    <x:row r="13" ht="22" customHeight="1">
      <x:c r="A13" s="6" t="inlineStr">
        <x:is>
          <x:t xml:space="preserve">packet_readiness</x:t>
        </x:is>
      </x:c>
      <x:c r="B13" s="20" t="str">
        <x:f>IF(Prefill_Audit!$B$22="","",Prefill_Audit!$B$22)</x:f>
        <x:v>Needs work</x:v>
      </x:c>
    </x:row>
    <x:row r="14" ht="22" customHeight="1">
      <x:c r="A14" s="6" t="inlineStr">
        <x:is>
          <x:t xml:space="preserve">subtotal</x:t>
        </x:is>
      </x:c>
      <x:c r="B14" s="20">
        <x:f>Overlay_Scoring!B24</x:f>
        <x:v>0</x:v>
      </x:c>
    </x:row>
    <x:row r="15" ht="22" customHeight="1">
      <x:c r="A15" s="6" t="inlineStr">
        <x:is>
          <x:t xml:space="preserve">penalties_applied</x:t>
        </x:is>
      </x:c>
      <x:c r="B15" s="20">
        <x:f>IF(COUNTIF(Overlay_Scoring!A5:A15,"Y")=0,"",LEFT(IF(Overlay_Scoring!A5="Y",Overlay_Scoring!B5&amp;", ","")&amp;IF(Overlay_Scoring!A6="Y",Overlay_Scoring!B6&amp;", ","")&amp;IF(Overlay_Scoring!A7="Y",Overlay_Scoring!B7&amp;", ","")&amp;IF(Overlay_Scoring!A8="Y",Overlay_Scoring!B8&amp;", ","")&amp;IF(Overlay_Scoring!A9="Y",Overlay_Scoring!B9&amp;", ","")&amp;IF(Overlay_Scoring!A10="Y",Overlay_Scoring!B10&amp;", ","")&amp;IF(Overlay_Scoring!A11="Y",Overlay_Scoring!B11&amp;", ","")&amp;IF(Overlay_Scoring!A12="Y",Overlay_Scoring!B12&amp;", ","")&amp;IF(Overlay_Scoring!A13="Y",Overlay_Scoring!B13&amp;", ","")&amp;IF(Overlay_Scoring!A14="Y",Overlay_Scoring!B14&amp;", ","")&amp;IF(Overlay_Scoring!A15="Y",Overlay_Scoring!B15&amp;", ",""),LEN(IF(Overlay_Scoring!A5="Y",Overlay_Scoring!B5&amp;", ","")&amp;IF(Overlay_Scoring!A6="Y",Overlay_Scoring!B6&amp;", ","")&amp;IF(Overlay_Scoring!A7="Y",Overlay_Scoring!B7&amp;", ","")&amp;IF(Overlay_Scoring!A8="Y",Overlay_Scoring!B8&amp;", ","")&amp;IF(Overlay_Scoring!A9="Y",Overlay_Scoring!B9&amp;", ","")&amp;IF(Overlay_Scoring!A10="Y",Overlay_Scoring!B10&amp;", ","")&amp;IF(Overlay_Scoring!A11="Y",Overlay_Scoring!B11&amp;", ","")&amp;IF(Overlay_Scoring!A12="Y",Overlay_Scoring!B12&amp;", ","")&amp;IF(Overlay_Scoring!A13="Y",Overlay_Scoring!B13&amp;", ","")&amp;IF(Overlay_Scoring!A14="Y",Overlay_Scoring!B14&amp;", ","")&amp;IF(Overlay_Scoring!A15="Y",Overlay_Scoring!B15&amp;", ",""))-2))</x:f>
      </x:c>
    </x:row>
    <x:row r="16" ht="22" customHeight="1">
      <x:c r="A16" s="6" t="inlineStr">
        <x:is>
          <x:t xml:space="preserve">cap_status</x:t>
        </x:is>
      </x:c>
      <x:c r="B16" s="20" t="str">
        <x:f>Overlay_Scoring!B19</x:f>
        <x:v>No cap</x:v>
      </x:c>
    </x:row>
    <x:row r="17" ht="22" customHeight="1">
      <x:c r="A17" s="6" t="inlineStr">
        <x:is>
          <x:t xml:space="preserve">post_penalty_score</x:t>
        </x:is>
      </x:c>
      <x:c r="B17" s="20">
        <x:f>Overlay_Scoring!B25</x:f>
        <x:v>0</x:v>
      </x:c>
    </x:row>
    <x:row r="18" ht="22" customHeight="1">
      <x:c r="A18" s="6" t="inlineStr">
        <x:is>
          <x:t xml:space="preserve">final_score</x:t>
        </x:is>
      </x:c>
      <x:c r="B18" s="20">
        <x:f>Overlay_Scoring!B26</x:f>
        <x:v>0</x:v>
      </x:c>
    </x:row>
    <x:row r="19" ht="22" customHeight="1">
      <x:c r="A19" s="6" t="inlineStr">
        <x:is>
          <x:t xml:space="preserve">zak_review_flag</x:t>
        </x:is>
      </x:c>
      <x:c r="B19" s="20" t="str">
        <x:f>Overlay_Scoring!B27</x:f>
        <x:v>No</x:v>
      </x:c>
    </x:row>
    <x:row r="20" ht="22" customHeight="1">
      <x:c r="A20" s="6" t="inlineStr">
        <x:is>
          <x:t xml:space="preserve">module_1_subtotal</x:t>
        </x:is>
      </x:c>
      <x:c r="B20" s="20">
        <x:f>Row_Scoring!B72</x:f>
        <x:v>0</x:v>
      </x:c>
    </x:row>
    <x:row r="21" ht="22" customHeight="1">
      <x:c r="A21" s="6" t="inlineStr">
        <x:is>
          <x:t xml:space="preserve">module_2_subtotal</x:t>
        </x:is>
      </x:c>
      <x:c r="B21" s="20">
        <x:f>Row_Scoring!B73</x:f>
        <x:v>0</x:v>
      </x:c>
    </x:row>
    <x:row r="22" ht="22" customHeight="1">
      <x:c r="A22" s="6" t="inlineStr">
        <x:is>
          <x:t xml:space="preserve">module_3_subtotal</x:t>
        </x:is>
      </x:c>
      <x:c r="B22" s="20">
        <x:f>Row_Scoring!B74</x:f>
        <x:v>0</x:v>
      </x:c>
    </x:row>
    <x:row r="23" ht="22" customHeight="1">
      <x:c r="A23" s="6" t="inlineStr">
        <x:is>
          <x:t xml:space="preserve">module_4_subtotal</x:t>
        </x:is>
      </x:c>
      <x:c r="B23" s="20">
        <x:f>Row_Scoring!B75</x:f>
        <x:v>0</x:v>
      </x:c>
    </x:row>
    <x:row r="24" ht="22" customHeight="1"/>
    <x:row r="25" ht="22" customHeight="1"/>
    <x:row r="26" ht="22" customHeight="1">
      <x:c r="A26" s="24" t="inlineStr">
        <x:is>
          <x:t xml:space="preserve">How to use</x:t>
        </x:is>
      </x:c>
      <x:c r="B26" s="3" t="n"/>
      <x:c r="C26" s="3" t="n"/>
      <x:c r="D26" s="3" t="n"/>
    </x:row>
    <x:row r="27" ht="22" customHeight="1">
      <x:c r="A27" s="6" t="inlineStr">
        <x:is>
          <x:t xml:space="preserve">• Copy the required fields above into your scoring export or logging layer.</x:t>
        </x:is>
      </x:c>
      <x:c r="B27" s="7" t="n"/>
      <x:c r="C27" s="7" t="n"/>
      <x:c r="D27" s="8" t="n"/>
    </x:row>
    <x:row r="28" ht="22" customHeight="1">
      <x:c r="A28" s="6" t="inlineStr">
        <x:is>
          <x:t xml:space="preserve">• The penalties_applied field is multi-select text. cap_status is single-select. final_score is already post-cap.</x:t>
        </x:is>
      </x:c>
      <x:c r="B28" s="7" t="n"/>
      <x:c r="C28" s="7" t="n"/>
      <x:c r="D28" s="8" t="n"/>
    </x:row>
    <x:row r="29" ht="22" customHeight="1">
      <x:c r="A29" s="6" t="inlineStr">
        <x:is>
          <x:t xml:space="preserve">• zak_review_flag turns Yes when penalty load is high, multiple major overlays stack, a cap is active, or packet fit remains unstable.</x:t>
        </x:is>
      </x:c>
      <x:c r="B29" s="7" t="n"/>
      <x:c r="C29" s="7" t="n"/>
      <x:c r="D29" s="8" t="n"/>
    </x:row>
  </x:sheetData>
  <x:mergeCells>
    <x:mergeCell ref="A1:D1"/>
    <x:mergeCell ref="A27:D27"/>
    <x:mergeCell ref="A26:D26"/>
    <x:mergeCell ref="A3:D3"/>
    <x:mergeCell ref="A29:D29"/>
    <x:mergeCell ref="A28:D28"/>
  </x:mergeCells>
  <x:pageMargins left="0.7" right="0.7" top="0.75" bottom="0.75" header="0.3" footer="0.3"/>
</x:worksheet>
</file>